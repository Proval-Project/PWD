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lee\Documents\카카오톡 받은 파일\"/>
    </mc:Choice>
  </mc:AlternateContent>
  <xr:revisionPtr revIDLastSave="0" documentId="13_ncr:1_{7E3F764E-738D-4747-BED2-99349854A36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DS" sheetId="6" r:id="rId1"/>
    <sheet name="ACT" sheetId="8" state="hidden" r:id="rId2"/>
    <sheet name="ACC" sheetId="7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8" i="6" l="1"/>
  <c r="CP40" i="6"/>
  <c r="CP16" i="6"/>
  <c r="CP15" i="6"/>
  <c r="CP14" i="6"/>
  <c r="CP13" i="6"/>
  <c r="CP12" i="6"/>
  <c r="CP11" i="6" a="1"/>
  <c r="CP11" i="6" s="1"/>
  <c r="CQ10" i="6" a="1"/>
  <c r="CQ10" i="6" s="1"/>
  <c r="CP10" i="6" a="1"/>
  <c r="CP10" i="6" s="1"/>
  <c r="CP9" i="6"/>
  <c r="CP8" i="6" a="1"/>
  <c r="CP8" i="6" s="1"/>
  <c r="BQ40" i="6" l="1"/>
  <c r="BQ8" i="6" l="1"/>
  <c r="BQ14" i="6"/>
  <c r="BQ16" i="6"/>
  <c r="BQ15" i="6"/>
  <c r="CP37" i="6"/>
  <c r="BQ37" i="6" s="1"/>
  <c r="CP35" i="6"/>
  <c r="BQ35" i="6" s="1"/>
  <c r="CP36" i="6"/>
  <c r="BQ36" i="6" s="1"/>
  <c r="CP34" i="6"/>
  <c r="BQ34" i="6" s="1"/>
  <c r="CP33" i="6"/>
  <c r="BQ33" i="6" s="1"/>
  <c r="CQ32" i="6"/>
  <c r="CA32" i="6" s="1"/>
  <c r="CP32" i="6"/>
  <c r="BQ32" i="6" s="1"/>
  <c r="CP31" i="6"/>
  <c r="BQ31" i="6" s="1"/>
  <c r="CP30" i="6"/>
  <c r="BQ30" i="6" s="1"/>
  <c r="CP29" i="6"/>
  <c r="BQ29" i="6" s="1"/>
  <c r="CQ28" i="6"/>
  <c r="CA28" i="6" s="1"/>
  <c r="CP28" i="6"/>
  <c r="BQ28" i="6" s="1"/>
  <c r="CP27" i="6"/>
  <c r="BQ27" i="6" s="1"/>
  <c r="CP26" i="6"/>
  <c r="BQ26" i="6" s="1"/>
  <c r="CP25" i="6"/>
  <c r="BQ25" i="6" s="1"/>
  <c r="CQ24" i="6"/>
  <c r="CA24" i="6" s="1"/>
  <c r="CP24" i="6"/>
  <c r="BQ24" i="6" s="1"/>
  <c r="CP23" i="6"/>
  <c r="BQ23" i="6" s="1"/>
  <c r="CP22" i="6"/>
  <c r="BQ22" i="6" s="1"/>
  <c r="CP21" i="6"/>
  <c r="BQ21" i="6" s="1"/>
  <c r="CP20" i="6"/>
  <c r="BQ20" i="6" s="1"/>
  <c r="CQ20" i="6"/>
  <c r="CA20" i="6" s="1"/>
  <c r="CP19" i="6"/>
  <c r="BQ19" i="6" s="1"/>
  <c r="CP18" i="6"/>
  <c r="BQ18" i="6" s="1"/>
  <c r="CP17" i="6"/>
  <c r="BQ17" i="6" s="1"/>
  <c r="BQ13" i="6"/>
  <c r="BQ12" i="6"/>
  <c r="BQ11" i="6"/>
  <c r="CA10" i="6"/>
  <c r="BQ10" i="6"/>
  <c r="BQ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<sst xmlns="http://schemas.openxmlformats.org/spreadsheetml/2006/main" count="1324" uniqueCount="590">
  <si>
    <t>VALVE DATA SHEET</t>
    <phoneticPr fontId="7" type="noConversion"/>
  </si>
  <si>
    <t xml:space="preserve">Sheet No. </t>
    <phoneticPr fontId="7" type="noConversion"/>
  </si>
  <si>
    <t xml:space="preserve"> Item</t>
    <phoneticPr fontId="7" type="noConversion"/>
  </si>
  <si>
    <t xml:space="preserve"> Project</t>
    <phoneticPr fontId="7" type="noConversion"/>
  </si>
  <si>
    <t xml:space="preserve"> Service</t>
    <phoneticPr fontId="7" type="noConversion"/>
  </si>
  <si>
    <t xml:space="preserve"> Tag. No.</t>
    <phoneticPr fontId="7" type="noConversion"/>
  </si>
  <si>
    <t xml:space="preserve"> MFG. No.</t>
    <phoneticPr fontId="7" type="noConversion"/>
  </si>
  <si>
    <t xml:space="preserve"> Model No.</t>
    <phoneticPr fontId="7" type="noConversion"/>
  </si>
  <si>
    <t xml:space="preserve"> Q'ty (Set)</t>
    <phoneticPr fontId="7" type="noConversion"/>
  </si>
  <si>
    <t>SERVICE CONDITIONS</t>
    <phoneticPr fontId="7" type="noConversion"/>
  </si>
  <si>
    <t xml:space="preserve"> </t>
    <phoneticPr fontId="7" type="noConversion"/>
  </si>
  <si>
    <t>Medium</t>
    <phoneticPr fontId="7" type="noConversion"/>
  </si>
  <si>
    <t>ACTUATOR</t>
    <phoneticPr fontId="7" type="noConversion"/>
  </si>
  <si>
    <t>Actuator Type</t>
    <phoneticPr fontId="7" type="noConversion"/>
  </si>
  <si>
    <t>Max. Q</t>
    <phoneticPr fontId="7" type="noConversion"/>
  </si>
  <si>
    <t>Nor. Q</t>
    <phoneticPr fontId="7" type="noConversion"/>
  </si>
  <si>
    <t>Min. Q</t>
  </si>
  <si>
    <t>Model No.</t>
    <phoneticPr fontId="7" type="noConversion"/>
  </si>
  <si>
    <t xml:space="preserve"> </t>
    <phoneticPr fontId="16" type="noConversion"/>
  </si>
  <si>
    <t>Flow Rate</t>
    <phoneticPr fontId="7" type="noConversion"/>
  </si>
  <si>
    <t>Close At (bar G)</t>
    <phoneticPr fontId="7" type="noConversion"/>
  </si>
  <si>
    <t>Open At (bar G)</t>
    <phoneticPr fontId="7" type="noConversion"/>
  </si>
  <si>
    <t xml:space="preserve">Inlet Pressure </t>
    <phoneticPr fontId="7" type="noConversion"/>
  </si>
  <si>
    <t>Fail Position (Signal / Air)</t>
    <phoneticPr fontId="7" type="noConversion"/>
  </si>
  <si>
    <t xml:space="preserve">Outlet Pressure </t>
    <phoneticPr fontId="7" type="noConversion"/>
  </si>
  <si>
    <t>Painting Color (RAL No.)</t>
    <phoneticPr fontId="7" type="noConversion"/>
  </si>
  <si>
    <t>Solenoid Valve</t>
    <phoneticPr fontId="9" type="noConversion"/>
  </si>
  <si>
    <t>Differential Pressure</t>
    <phoneticPr fontId="7" type="noConversion"/>
  </si>
  <si>
    <t>Painting Type</t>
    <phoneticPr fontId="7" type="noConversion"/>
  </si>
  <si>
    <t xml:space="preserve">Inlet Temperature  </t>
    <phoneticPr fontId="7" type="noConversion"/>
  </si>
  <si>
    <t>HAND
WHEEL</t>
    <phoneticPr fontId="7" type="noConversion"/>
  </si>
  <si>
    <t>Type / Location</t>
    <phoneticPr fontId="7" type="noConversion"/>
  </si>
  <si>
    <t xml:space="preserve">  </t>
    <phoneticPr fontId="16" type="noConversion"/>
  </si>
  <si>
    <t>Specific Gravity</t>
    <phoneticPr fontId="7" type="noConversion"/>
  </si>
  <si>
    <t>G</t>
    <phoneticPr fontId="7" type="noConversion"/>
  </si>
  <si>
    <t>Density</t>
    <phoneticPr fontId="7" type="noConversion"/>
  </si>
  <si>
    <t xml:space="preserve">Molecular Weight </t>
    <phoneticPr fontId="7" type="noConversion"/>
  </si>
  <si>
    <t>I / P  
POSITIONER</t>
    <phoneticPr fontId="7" type="noConversion"/>
  </si>
  <si>
    <t>Input Signal (mA DC)</t>
    <phoneticPr fontId="7" type="noConversion"/>
  </si>
  <si>
    <t xml:space="preserve">Viscosity </t>
    <phoneticPr fontId="7" type="noConversion"/>
  </si>
  <si>
    <t>cPs</t>
    <phoneticPr fontId="7" type="noConversion"/>
  </si>
  <si>
    <t>Type</t>
    <phoneticPr fontId="7" type="noConversion"/>
  </si>
  <si>
    <t xml:space="preserve">Predicted SPL </t>
    <phoneticPr fontId="7" type="noConversion"/>
  </si>
  <si>
    <t>dB(A)</t>
    <phoneticPr fontId="9" type="noConversion"/>
  </si>
  <si>
    <t>Enclosure</t>
    <phoneticPr fontId="7" type="noConversion"/>
  </si>
  <si>
    <t>Calculated Cv</t>
    <phoneticPr fontId="7" type="noConversion"/>
  </si>
  <si>
    <t>MFG.</t>
    <phoneticPr fontId="7" type="noConversion"/>
  </si>
  <si>
    <t xml:space="preserve">Opening Lift </t>
    <phoneticPr fontId="7" type="noConversion"/>
  </si>
  <si>
    <t>%</t>
    <phoneticPr fontId="9" type="noConversion"/>
  </si>
  <si>
    <t>POSITION
TRANSMITTER</t>
    <phoneticPr fontId="7" type="noConversion"/>
  </si>
  <si>
    <t>Output (mA DC)</t>
    <phoneticPr fontId="7" type="noConversion"/>
  </si>
  <si>
    <t>AIR SET</t>
    <phoneticPr fontId="7" type="noConversion"/>
  </si>
  <si>
    <t>Supply Setting Pressure (bar G)</t>
    <phoneticPr fontId="7" type="noConversion"/>
  </si>
  <si>
    <t>LINE</t>
    <phoneticPr fontId="7" type="noConversion"/>
  </si>
  <si>
    <r>
      <t xml:space="preserve">Shut Off </t>
    </r>
    <r>
      <rPr>
        <b/>
        <sz val="9"/>
        <color rgb="FF000000"/>
        <rFont val="Segoe UI Symbol"/>
        <family val="2"/>
      </rPr>
      <t>△</t>
    </r>
    <r>
      <rPr>
        <b/>
        <sz val="9"/>
        <color indexed="8"/>
        <rFont val="Arial Narrow"/>
        <family val="2"/>
      </rPr>
      <t xml:space="preserve">P </t>
    </r>
    <phoneticPr fontId="7" type="noConversion"/>
  </si>
  <si>
    <t>Air-set</t>
    <phoneticPr fontId="9" type="noConversion"/>
  </si>
  <si>
    <t xml:space="preserve">Design </t>
    <phoneticPr fontId="7" type="noConversion"/>
  </si>
  <si>
    <t xml:space="preserve">Pressure </t>
    <phoneticPr fontId="7" type="noConversion"/>
  </si>
  <si>
    <t>SOLENOID
VALVE</t>
    <phoneticPr fontId="7" type="noConversion"/>
  </si>
  <si>
    <t>Power</t>
    <phoneticPr fontId="7" type="noConversion"/>
  </si>
  <si>
    <t>Temp.</t>
    <phoneticPr fontId="7" type="noConversion"/>
  </si>
  <si>
    <t>Inlet Pipe Size (A)</t>
    <phoneticPr fontId="7" type="noConversion"/>
  </si>
  <si>
    <t>Sch. No.</t>
  </si>
  <si>
    <t>Outlet Pipe Size (A)</t>
    <phoneticPr fontId="7" type="noConversion"/>
  </si>
  <si>
    <t>Volume booster</t>
  </si>
  <si>
    <t>BODY  &amp;  TRIM</t>
    <phoneticPr fontId="7" type="noConversion"/>
  </si>
  <si>
    <t>Body Type</t>
    <phoneticPr fontId="7" type="noConversion"/>
  </si>
  <si>
    <t>LIMIT SWITCH</t>
  </si>
  <si>
    <t>Quantity</t>
    <phoneticPr fontId="7" type="noConversion"/>
  </si>
  <si>
    <t>Body Size</t>
    <phoneticPr fontId="7" type="noConversion"/>
  </si>
  <si>
    <t>Port Size</t>
    <phoneticPr fontId="7" type="noConversion"/>
  </si>
  <si>
    <t>Trim Design</t>
    <phoneticPr fontId="7" type="noConversion"/>
  </si>
  <si>
    <t>Trim Type</t>
    <phoneticPr fontId="7" type="noConversion"/>
  </si>
  <si>
    <t>Trim Seal Ring</t>
    <phoneticPr fontId="7" type="noConversion"/>
  </si>
  <si>
    <t>Guide</t>
    <phoneticPr fontId="7" type="noConversion"/>
  </si>
  <si>
    <t>LOCK-UP VALVE</t>
    <phoneticPr fontId="7" type="noConversion"/>
  </si>
  <si>
    <t>Setting Pressure (bar G)</t>
    <phoneticPr fontId="7" type="noConversion"/>
  </si>
  <si>
    <t>Rating &amp; End Connection</t>
    <phoneticPr fontId="9" type="noConversion"/>
  </si>
  <si>
    <t>Flange Facing</t>
    <phoneticPr fontId="7" type="noConversion"/>
  </si>
  <si>
    <t>SNAP-ACTING
RELAY</t>
    <phoneticPr fontId="7" type="noConversion"/>
  </si>
  <si>
    <t>Material</t>
  </si>
  <si>
    <t>Body</t>
    <phoneticPr fontId="7" type="noConversion"/>
  </si>
  <si>
    <t>Trim</t>
    <phoneticPr fontId="7" type="noConversion"/>
  </si>
  <si>
    <t>ACCESSORY</t>
    <phoneticPr fontId="7" type="noConversion"/>
  </si>
  <si>
    <t>Air-Operated Valve</t>
    <phoneticPr fontId="7" type="noConversion"/>
  </si>
  <si>
    <t>Stem</t>
    <phoneticPr fontId="7" type="noConversion"/>
  </si>
  <si>
    <t>Mechanical Valve</t>
    <phoneticPr fontId="7" type="noConversion"/>
  </si>
  <si>
    <t>Packing</t>
    <phoneticPr fontId="7" type="noConversion"/>
  </si>
  <si>
    <t>Check Valve</t>
    <phoneticPr fontId="7" type="noConversion"/>
  </si>
  <si>
    <t>Volume Booster</t>
    <phoneticPr fontId="7" type="noConversion"/>
  </si>
  <si>
    <t>Bonnet Type</t>
    <phoneticPr fontId="7" type="noConversion"/>
  </si>
  <si>
    <t>Exhaust Valve</t>
    <phoneticPr fontId="7" type="noConversion"/>
  </si>
  <si>
    <t>Trim Form</t>
    <phoneticPr fontId="7" type="noConversion"/>
  </si>
  <si>
    <t>Speed-Controller</t>
    <phoneticPr fontId="7" type="noConversion"/>
  </si>
  <si>
    <t>Max.Allow Sound Level (dBA)</t>
    <phoneticPr fontId="7" type="noConversion"/>
  </si>
  <si>
    <t>Silencer</t>
    <phoneticPr fontId="7" type="noConversion"/>
  </si>
  <si>
    <t>Required Seat Tightness</t>
    <phoneticPr fontId="7" type="noConversion"/>
  </si>
  <si>
    <t>MISCELLANEOUS</t>
    <phoneticPr fontId="7" type="noConversion"/>
  </si>
  <si>
    <t>Conduit Connection</t>
    <phoneticPr fontId="7" type="noConversion"/>
  </si>
  <si>
    <t>Air Supply</t>
    <phoneticPr fontId="7" type="noConversion"/>
  </si>
  <si>
    <t>Rated Cv</t>
    <phoneticPr fontId="7" type="noConversion"/>
  </si>
  <si>
    <t>Electrical</t>
    <phoneticPr fontId="7" type="noConversion"/>
  </si>
  <si>
    <t>Stroke</t>
    <phoneticPr fontId="7" type="noConversion"/>
  </si>
  <si>
    <t>Water Seal</t>
    <phoneticPr fontId="7" type="noConversion"/>
  </si>
  <si>
    <t>Flow Action To</t>
    <phoneticPr fontId="7" type="noConversion"/>
  </si>
  <si>
    <t>Jacket</t>
    <phoneticPr fontId="7" type="noConversion"/>
  </si>
  <si>
    <t>Jacket Material</t>
    <phoneticPr fontId="7" type="noConversion"/>
  </si>
  <si>
    <t>Tubing Material</t>
    <phoneticPr fontId="7" type="noConversion"/>
  </si>
  <si>
    <t>Oil-Free / Water-Free Treatment</t>
    <phoneticPr fontId="7" type="noConversion"/>
  </si>
  <si>
    <t>Sunshade Material</t>
    <phoneticPr fontId="7" type="noConversion"/>
  </si>
  <si>
    <t>NOTE</t>
    <phoneticPr fontId="7" type="noConversion"/>
  </si>
  <si>
    <t>No.</t>
    <phoneticPr fontId="7" type="noConversion"/>
  </si>
  <si>
    <t>Date</t>
    <phoneticPr fontId="16" type="noConversion"/>
  </si>
  <si>
    <t>Revision</t>
    <phoneticPr fontId="7" type="noConversion"/>
  </si>
  <si>
    <t>Prepared By</t>
    <phoneticPr fontId="7" type="noConversion"/>
  </si>
  <si>
    <t>Checked By</t>
    <phoneticPr fontId="7" type="noConversion"/>
  </si>
  <si>
    <t>Approved By</t>
  </si>
  <si>
    <t>AVP300-HSD3D-XXXX-X</t>
  </si>
  <si>
    <t>AVP302-HSD3D-XXXX-X</t>
    <phoneticPr fontId="9" type="noConversion"/>
  </si>
  <si>
    <t>EP-6000LN12S0(TS600)</t>
    <phoneticPr fontId="9" type="noConversion"/>
  </si>
  <si>
    <t>EP-6100RN11S0</t>
    <phoneticPr fontId="9" type="noConversion"/>
  </si>
  <si>
    <t>IP8100-031-CH-X114</t>
    <phoneticPr fontId="9" type="noConversion"/>
  </si>
  <si>
    <t>SP-8000N11S10(TS800)</t>
    <phoneticPr fontId="9" type="noConversion"/>
  </si>
  <si>
    <t>SP-8000N11S30(TS800)</t>
    <phoneticPr fontId="9" type="noConversion"/>
  </si>
  <si>
    <t>SP-8100N11S30(TS800)</t>
    <phoneticPr fontId="9" type="noConversion"/>
  </si>
  <si>
    <t>TS600LB12S0</t>
    <phoneticPr fontId="9" type="noConversion"/>
  </si>
  <si>
    <t>TS600LC12S0</t>
    <phoneticPr fontId="9" type="noConversion"/>
  </si>
  <si>
    <t>TS600LN12S1</t>
    <phoneticPr fontId="9" type="noConversion"/>
  </si>
  <si>
    <t>TS600RB11S0</t>
    <phoneticPr fontId="9" type="noConversion"/>
  </si>
  <si>
    <t>TS600RN11S1</t>
    <phoneticPr fontId="9" type="noConversion"/>
  </si>
  <si>
    <t>TS700LSN11S10</t>
    <phoneticPr fontId="9" type="noConversion"/>
  </si>
  <si>
    <t>TS800RA11S10</t>
  </si>
  <si>
    <t>TS820RA11S01</t>
    <phoneticPr fontId="9" type="noConversion"/>
  </si>
  <si>
    <t>TS900LC31S10</t>
    <phoneticPr fontId="9" type="noConversion"/>
  </si>
  <si>
    <t>TS900LC31S20</t>
    <phoneticPr fontId="9" type="noConversion"/>
  </si>
  <si>
    <t>TS900LC31S30</t>
    <phoneticPr fontId="9" type="noConversion"/>
  </si>
  <si>
    <t>TS900RC31S10</t>
    <phoneticPr fontId="9" type="noConversion"/>
  </si>
  <si>
    <t>YT-1000LSC231S0</t>
    <phoneticPr fontId="9" type="noConversion"/>
  </si>
  <si>
    <t>YT-1000LSM231S0</t>
    <phoneticPr fontId="9" type="noConversion"/>
  </si>
  <si>
    <t>YT-1000RSM231S0</t>
  </si>
  <si>
    <t>YT-1200LS231S0</t>
  </si>
  <si>
    <t>YT-3300LSN1101S</t>
    <phoneticPr fontId="9" type="noConversion"/>
  </si>
  <si>
    <t>YT-3300LSN1120S</t>
    <phoneticPr fontId="9" type="noConversion"/>
  </si>
  <si>
    <t>YT-3300LSN1121S</t>
    <phoneticPr fontId="9" type="noConversion"/>
  </si>
  <si>
    <t>YT-3300RSN2120S</t>
    <phoneticPr fontId="9" type="noConversion"/>
  </si>
  <si>
    <t>YT-3303LDN2121S</t>
    <phoneticPr fontId="9" type="noConversion"/>
  </si>
  <si>
    <t>YT-3303LSN2100S</t>
    <phoneticPr fontId="9" type="noConversion"/>
  </si>
  <si>
    <t>YT-3303LSN2101S</t>
    <phoneticPr fontId="9" type="noConversion"/>
  </si>
  <si>
    <t>YT-3303LSN2120S</t>
    <phoneticPr fontId="9" type="noConversion"/>
  </si>
  <si>
    <t>YT-3303LSN2121S</t>
    <phoneticPr fontId="9" type="noConversion"/>
  </si>
  <si>
    <t>YT-3400LDC2121S</t>
    <phoneticPr fontId="9" type="noConversion"/>
  </si>
  <si>
    <t>YT-3400LSC2100S</t>
    <phoneticPr fontId="9" type="noConversion"/>
  </si>
  <si>
    <t>YT-3400LSC2101S</t>
    <phoneticPr fontId="9" type="noConversion"/>
  </si>
  <si>
    <t>YT-3400LSC2121S</t>
    <phoneticPr fontId="9" type="noConversion"/>
  </si>
  <si>
    <t>YT-3400RSC2100S</t>
    <phoneticPr fontId="9" type="noConversion"/>
  </si>
  <si>
    <t>4F310-08-TP-X-DC24V</t>
    <phoneticPr fontId="9" type="noConversion"/>
  </si>
  <si>
    <t>4F310-10-B-DC24V</t>
  </si>
  <si>
    <t>4F310E-08-TP-X-AC110V</t>
  </si>
  <si>
    <t>4F310E-08-TP-X-DC24V</t>
  </si>
  <si>
    <t>ESV-S-A110P-F</t>
    <phoneticPr fontId="9" type="noConversion"/>
  </si>
  <si>
    <t xml:space="preserve">ESV-S-A220P-F </t>
  </si>
  <si>
    <t>ESV-S-D24P-F</t>
  </si>
  <si>
    <t>HKW5020B</t>
    <phoneticPr fontId="9" type="noConversion"/>
  </si>
  <si>
    <t>HKW5020S</t>
    <phoneticPr fontId="9" type="noConversion"/>
  </si>
  <si>
    <t>HPW2510B</t>
    <phoneticPr fontId="9" type="noConversion"/>
  </si>
  <si>
    <t>HPW2510SB</t>
    <phoneticPr fontId="9" type="noConversion"/>
  </si>
  <si>
    <t>HPW3212B</t>
    <phoneticPr fontId="9" type="noConversion"/>
  </si>
  <si>
    <t>JKB8320G174MO</t>
    <phoneticPr fontId="9" type="noConversion"/>
  </si>
  <si>
    <t>JKH8320G174M0</t>
  </si>
  <si>
    <t>MOOU-8AE-12PU-AC110V</t>
    <phoneticPr fontId="9" type="noConversion"/>
  </si>
  <si>
    <t>MOOU-8AE-12PU-AC220V</t>
  </si>
  <si>
    <t>MOOU-8DE-12PU-DC24V</t>
    <phoneticPr fontId="9" type="noConversion"/>
  </si>
  <si>
    <t>RDS5120-1DZ-03</t>
    <phoneticPr fontId="9" type="noConversion"/>
  </si>
  <si>
    <t>SV-210-1D</t>
    <phoneticPr fontId="9" type="noConversion"/>
  </si>
  <si>
    <t>SV-210-1D-LAMP</t>
  </si>
  <si>
    <t>SV-210-1D-LOCK LEVER</t>
  </si>
  <si>
    <t>SV-210-1D-LOCK LEVER+LAMP</t>
  </si>
  <si>
    <t>SV-210-2D</t>
    <phoneticPr fontId="9" type="noConversion"/>
  </si>
  <si>
    <t>SV-210-2D-LAMP</t>
  </si>
  <si>
    <t>SV-210-2D-LOCK LEVER</t>
  </si>
  <si>
    <t>SV-210-2D-LOCK LEVER+LAMP</t>
  </si>
  <si>
    <t>SV-210-4D-LAMP</t>
  </si>
  <si>
    <t>SV-210-4D-LOCK LEVER</t>
  </si>
  <si>
    <t>SV-210-4D-LOCK LEVER+LAMP</t>
  </si>
  <si>
    <t>SV-410-1D-LOCK LEVER</t>
  </si>
  <si>
    <t>VCEFCMHBX8320G174MO-AC110V</t>
  </si>
  <si>
    <t>APL-210N</t>
    <phoneticPr fontId="9" type="noConversion"/>
  </si>
  <si>
    <t>APL-312N</t>
  </si>
  <si>
    <t>APL-314N</t>
  </si>
  <si>
    <t>APL-510N</t>
    <phoneticPr fontId="9" type="noConversion"/>
  </si>
  <si>
    <t>APL-512N</t>
  </si>
  <si>
    <t>GLAA20A2A</t>
    <phoneticPr fontId="9" type="noConversion"/>
  </si>
  <si>
    <t>SLP5130-AL</t>
  </si>
  <si>
    <t>SZL-WLC-B</t>
    <phoneticPr fontId="9" type="noConversion"/>
  </si>
  <si>
    <t>TS400M1S1</t>
  </si>
  <si>
    <t>TS410MK1S1</t>
  </si>
  <si>
    <t>AR-1501NS0(TS300)</t>
    <phoneticPr fontId="9" type="noConversion"/>
  </si>
  <si>
    <t>AR-1501PS0(TS300)</t>
    <phoneticPr fontId="9" type="noConversion"/>
  </si>
  <si>
    <t>AR-2501NS0(TS310)</t>
    <phoneticPr fontId="9" type="noConversion"/>
  </si>
  <si>
    <t>AW30-03-A</t>
    <phoneticPr fontId="9" type="noConversion"/>
  </si>
  <si>
    <t>B7019-2C-M</t>
    <phoneticPr fontId="9" type="noConversion"/>
  </si>
  <si>
    <t>TS300PS0</t>
  </si>
  <si>
    <t>YT-200BN020</t>
  </si>
  <si>
    <t>YT-200BP010</t>
  </si>
  <si>
    <t>YT-200BP020</t>
    <phoneticPr fontId="9" type="noConversion"/>
  </si>
  <si>
    <t>YT-220BN010</t>
  </si>
  <si>
    <t>SFP4313</t>
    <phoneticPr fontId="9" type="noConversion"/>
  </si>
  <si>
    <t>SFP6313</t>
    <phoneticPr fontId="9" type="noConversion"/>
  </si>
  <si>
    <t>SV-210M</t>
    <phoneticPr fontId="9" type="noConversion"/>
  </si>
  <si>
    <t>SV-310M</t>
  </si>
  <si>
    <t>SV-410M</t>
  </si>
  <si>
    <t>Lockup valve</t>
    <phoneticPr fontId="9" type="noConversion"/>
  </si>
  <si>
    <t>LV-2000DNS(TS200)</t>
    <phoneticPr fontId="9" type="noConversion"/>
  </si>
  <si>
    <t>LV-2000SNS(TS200)</t>
    <phoneticPr fontId="9" type="noConversion"/>
  </si>
  <si>
    <t>LV-2000SPS(TS200)</t>
    <phoneticPr fontId="9" type="noConversion"/>
  </si>
  <si>
    <t>SAR25D(TS250)</t>
    <phoneticPr fontId="9" type="noConversion"/>
  </si>
  <si>
    <t>Model No.</t>
    <phoneticPr fontId="5" type="noConversion"/>
  </si>
  <si>
    <t>EP-6100</t>
  </si>
  <si>
    <t>NEMA 4</t>
  </si>
  <si>
    <t>Enclosure</t>
    <phoneticPr fontId="5" type="noConversion"/>
  </si>
  <si>
    <t>Type</t>
    <phoneticPr fontId="5" type="noConversion"/>
  </si>
  <si>
    <t>Conventional</t>
  </si>
  <si>
    <t>SP-8000</t>
  </si>
  <si>
    <t>IP-66</t>
  </si>
  <si>
    <t>IP-66</t>
    <phoneticPr fontId="5" type="noConversion"/>
  </si>
  <si>
    <t>Smart</t>
  </si>
  <si>
    <t>Smart</t>
    <phoneticPr fontId="5" type="noConversion"/>
  </si>
  <si>
    <t>4 ~ 20</t>
  </si>
  <si>
    <t>4 ~ 20</t>
    <phoneticPr fontId="5" type="noConversion"/>
  </si>
  <si>
    <t>Smart-Hart</t>
  </si>
  <si>
    <t>SP-8100</t>
  </si>
  <si>
    <t>EP-6000</t>
  </si>
  <si>
    <t>YT-1000R</t>
  </si>
  <si>
    <t>ExdIIBT5</t>
  </si>
  <si>
    <t>YT-1000L</t>
  </si>
  <si>
    <t>YT-1000L-C</t>
  </si>
  <si>
    <t>ExdIICT5</t>
  </si>
  <si>
    <t>YT-3300R</t>
  </si>
  <si>
    <t>-</t>
    <phoneticPr fontId="5" type="noConversion"/>
  </si>
  <si>
    <t>YT-3303LD</t>
  </si>
  <si>
    <t>YT-3303L</t>
  </si>
  <si>
    <t>Power</t>
    <phoneticPr fontId="5" type="noConversion"/>
  </si>
  <si>
    <t>Quantity</t>
    <phoneticPr fontId="5" type="noConversion"/>
  </si>
  <si>
    <t>Painting Type</t>
  </si>
  <si>
    <t>A-430M</t>
  </si>
  <si>
    <t>A-520M</t>
  </si>
  <si>
    <t>B시리즈</t>
  </si>
  <si>
    <t>B2</t>
  </si>
  <si>
    <t>B3</t>
  </si>
  <si>
    <t>B4</t>
  </si>
  <si>
    <t>B5</t>
  </si>
  <si>
    <t>B6</t>
  </si>
  <si>
    <t>C시리즈</t>
  </si>
  <si>
    <t>C-160</t>
  </si>
  <si>
    <t>C-200</t>
  </si>
  <si>
    <t>C-250</t>
  </si>
  <si>
    <t>C-350</t>
  </si>
  <si>
    <t>C-400</t>
  </si>
  <si>
    <t>C-450</t>
  </si>
  <si>
    <t>C-500</t>
  </si>
  <si>
    <t>DB시리즈</t>
  </si>
  <si>
    <t>DB-270</t>
  </si>
  <si>
    <t>DB-360</t>
  </si>
  <si>
    <t>DB-430</t>
  </si>
  <si>
    <t>DB-520</t>
  </si>
  <si>
    <t>CB시리즈</t>
  </si>
  <si>
    <t>CB-270</t>
  </si>
  <si>
    <t>CB-360</t>
  </si>
  <si>
    <t>CB-430</t>
  </si>
  <si>
    <t>CB-520</t>
  </si>
  <si>
    <t>Float</t>
  </si>
  <si>
    <t>40-50A용</t>
  </si>
  <si>
    <t>(HKC)HP시리즈</t>
  </si>
  <si>
    <t>HP-88 (B1)</t>
  </si>
  <si>
    <t>HP-100 (B2)</t>
  </si>
  <si>
    <t>HP-125 (B4)</t>
  </si>
  <si>
    <t>HP-66 (B0)</t>
  </si>
  <si>
    <t>HP-115(B3)</t>
  </si>
  <si>
    <t>HP-145 (B6)</t>
  </si>
  <si>
    <t>HP-160</t>
  </si>
  <si>
    <t>HP-200</t>
  </si>
  <si>
    <t>(성원)PM시리즈</t>
  </si>
  <si>
    <t>PM-S065 (B1)</t>
  </si>
  <si>
    <t>PM-S080 (B2)</t>
  </si>
  <si>
    <t>PM-S100 (B3)</t>
  </si>
  <si>
    <t>PM-S125 (B4)</t>
  </si>
  <si>
    <t>PM-S140 (B5)</t>
  </si>
  <si>
    <t>PM-S160 (B6)</t>
  </si>
  <si>
    <t>R시리즈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</si>
  <si>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</si>
  <si>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</si>
  <si>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</si>
  <si>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</si>
  <si>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</si>
  <si>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</si>
  <si>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</si>
  <si>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</si>
  <si>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</si>
  <si>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</si>
  <si>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C V/T시리즈</t>
  </si>
  <si>
    <t>C-160 + V/T</t>
  </si>
  <si>
    <t>C-200 + V/T</t>
  </si>
  <si>
    <t>C-250 + V/T</t>
  </si>
  <si>
    <t>C-300 + V/T</t>
  </si>
  <si>
    <t>C-350 + V/T</t>
  </si>
  <si>
    <t>C-400 + V/T</t>
  </si>
  <si>
    <t>C-450 + V/T</t>
  </si>
  <si>
    <t>C-500 + V/T</t>
  </si>
  <si>
    <t>R V/T시리즈</t>
  </si>
  <si>
    <t>R6 + V/T</t>
  </si>
  <si>
    <t>R7 + V/T</t>
  </si>
  <si>
    <t>R8 + V/T</t>
  </si>
  <si>
    <t>R9 + V/T</t>
  </si>
  <si>
    <t>R10 + V/T</t>
  </si>
  <si>
    <t>R11 + V/T</t>
  </si>
  <si>
    <t>R12 + V/T</t>
  </si>
  <si>
    <t>R13 + V/T</t>
  </si>
  <si>
    <t>R14 + V/T</t>
  </si>
  <si>
    <t>R15 + V/T</t>
  </si>
  <si>
    <t>Screwed / Top</t>
  </si>
  <si>
    <t>Screwed / Side</t>
  </si>
  <si>
    <t>Declutchable</t>
  </si>
  <si>
    <t>Model No.</t>
    <phoneticPr fontId="9" type="noConversion"/>
  </si>
  <si>
    <t>RAL 5019</t>
  </si>
  <si>
    <t>Polyurethane</t>
  </si>
  <si>
    <t>Polyurethane</t>
    <phoneticPr fontId="5" type="noConversion"/>
  </si>
  <si>
    <t>RAL 5019</t>
    <phoneticPr fontId="5" type="noConversion"/>
  </si>
  <si>
    <t>Worm-Gear / Side</t>
  </si>
  <si>
    <t>RAL 9011</t>
  </si>
  <si>
    <t>C-350S</t>
  </si>
  <si>
    <t>Open</t>
  </si>
  <si>
    <t>Close</t>
  </si>
  <si>
    <t>B4SR</t>
  </si>
  <si>
    <t>Last</t>
  </si>
  <si>
    <t>R12SD</t>
  </si>
  <si>
    <t>Scoth-York / R7SD</t>
  </si>
  <si>
    <t>A-270M</t>
    <phoneticPr fontId="5" type="noConversion"/>
  </si>
  <si>
    <t>B1SR</t>
  </si>
  <si>
    <t>B6SR</t>
  </si>
  <si>
    <t>B1S</t>
  </si>
  <si>
    <t>Close / Last</t>
  </si>
  <si>
    <t>PX8576(S) -BLACK(AB-1)</t>
  </si>
  <si>
    <t>B3SR</t>
  </si>
  <si>
    <t>B2SR</t>
  </si>
  <si>
    <t>RAL 9011</t>
    <phoneticPr fontId="5" type="noConversion"/>
  </si>
  <si>
    <t>YAF</t>
  </si>
  <si>
    <t>High Level</t>
  </si>
  <si>
    <t>Low Level</t>
  </si>
  <si>
    <t>AVP-300</t>
  </si>
  <si>
    <t>ExdIICT6</t>
    <phoneticPr fontId="5" type="noConversion"/>
  </si>
  <si>
    <t>AVP-302</t>
    <phoneticPr fontId="5" type="noConversion"/>
  </si>
  <si>
    <t>Smart-Hart</t>
    <phoneticPr fontId="5" type="noConversion"/>
  </si>
  <si>
    <t>IP-8100</t>
    <phoneticPr fontId="5" type="noConversion"/>
  </si>
  <si>
    <t>ExdIIBT5</t>
    <phoneticPr fontId="5" type="noConversion"/>
  </si>
  <si>
    <t>Conventional</t>
    <phoneticPr fontId="5" type="noConversion"/>
  </si>
  <si>
    <t>TS600L</t>
    <phoneticPr fontId="9" type="noConversion"/>
  </si>
  <si>
    <t>ExdIIBT5</t>
    <phoneticPr fontId="9" type="noConversion"/>
  </si>
  <si>
    <t>Conventional</t>
    <phoneticPr fontId="9" type="noConversion"/>
  </si>
  <si>
    <t>TS600LC</t>
    <phoneticPr fontId="9" type="noConversion"/>
  </si>
  <si>
    <t>ExdIICT5</t>
    <phoneticPr fontId="9" type="noConversion"/>
  </si>
  <si>
    <t>TS600L</t>
  </si>
  <si>
    <t>TS600R</t>
    <phoneticPr fontId="5" type="noConversion"/>
  </si>
  <si>
    <t>TS600RN</t>
    <phoneticPr fontId="5" type="noConversion"/>
  </si>
  <si>
    <t>TS700L</t>
    <phoneticPr fontId="9" type="noConversion"/>
  </si>
  <si>
    <t>Smart, Fail Freeze</t>
  </si>
  <si>
    <t>TS800RA</t>
  </si>
  <si>
    <t>Exia II CT6</t>
    <phoneticPr fontId="9" type="noConversion"/>
  </si>
  <si>
    <t>TS820R</t>
    <phoneticPr fontId="9" type="noConversion"/>
  </si>
  <si>
    <t>ExiaIICT5/T6</t>
    <phoneticPr fontId="9" type="noConversion"/>
  </si>
  <si>
    <t>Smart, Remote, 5m</t>
    <phoneticPr fontId="9" type="noConversion"/>
  </si>
  <si>
    <t>TS900L</t>
    <phoneticPr fontId="9" type="noConversion"/>
  </si>
  <si>
    <t>ExdIICT6</t>
    <phoneticPr fontId="9" type="noConversion"/>
  </si>
  <si>
    <t>Smart</t>
    <phoneticPr fontId="9" type="noConversion"/>
  </si>
  <si>
    <t>TS900R</t>
  </si>
  <si>
    <t>ExdIICT6</t>
  </si>
  <si>
    <t>YT-3400LD</t>
    <phoneticPr fontId="9" type="noConversion"/>
  </si>
  <si>
    <t>Smart-Hart</t>
    <phoneticPr fontId="9" type="noConversion"/>
  </si>
  <si>
    <t>YT-3400L</t>
  </si>
  <si>
    <t>YT-3400R</t>
    <phoneticPr fontId="9" type="noConversion"/>
  </si>
  <si>
    <t>4F310E-08</t>
    <phoneticPr fontId="9" type="noConversion"/>
  </si>
  <si>
    <t>ExdIIBT4</t>
    <phoneticPr fontId="9" type="noConversion"/>
  </si>
  <si>
    <t>5-Way</t>
    <phoneticPr fontId="9" type="noConversion"/>
  </si>
  <si>
    <t>DC24V</t>
    <phoneticPr fontId="9" type="noConversion"/>
  </si>
  <si>
    <t>4F310-10-B</t>
    <phoneticPr fontId="9" type="noConversion"/>
  </si>
  <si>
    <t>3-Way</t>
    <phoneticPr fontId="9" type="noConversion"/>
  </si>
  <si>
    <t>AC110V</t>
    <phoneticPr fontId="9" type="noConversion"/>
  </si>
  <si>
    <t>4F310-08</t>
  </si>
  <si>
    <t>IP-66</t>
    <phoneticPr fontId="9" type="noConversion"/>
  </si>
  <si>
    <t>4-Way</t>
    <phoneticPr fontId="9" type="noConversion"/>
  </si>
  <si>
    <t>ESV-S</t>
    <phoneticPr fontId="9" type="noConversion"/>
  </si>
  <si>
    <t>EXdIICT6</t>
    <phoneticPr fontId="9" type="noConversion"/>
  </si>
  <si>
    <t>5/2-Way</t>
    <phoneticPr fontId="9" type="noConversion"/>
  </si>
  <si>
    <t>AC220V</t>
    <phoneticPr fontId="9" type="noConversion"/>
  </si>
  <si>
    <t>3-Way, H-Class, Junction Box, Manual Operator</t>
    <phoneticPr fontId="9" type="noConversion"/>
  </si>
  <si>
    <t>AC220V</t>
  </si>
  <si>
    <t>JKH8320G174MO</t>
    <phoneticPr fontId="9" type="noConversion"/>
  </si>
  <si>
    <t>3-Way, H-Class</t>
    <phoneticPr fontId="9" type="noConversion"/>
  </si>
  <si>
    <t>DC24V / 2Set</t>
    <phoneticPr fontId="9" type="noConversion"/>
  </si>
  <si>
    <t>MOOU-8AE-12PU</t>
  </si>
  <si>
    <t>ExdIIBT4</t>
  </si>
  <si>
    <t>3-Way</t>
  </si>
  <si>
    <t>AC110V</t>
  </si>
  <si>
    <t>MOOU-8DE-12PU</t>
    <phoneticPr fontId="9" type="noConversion"/>
  </si>
  <si>
    <t>3-Way, Manual Operator</t>
    <phoneticPr fontId="9" type="noConversion"/>
  </si>
  <si>
    <t>SV-210D</t>
    <phoneticPr fontId="9" type="noConversion"/>
  </si>
  <si>
    <t>3-Way, 램프형</t>
    <phoneticPr fontId="9" type="noConversion"/>
  </si>
  <si>
    <t>SV-210D</t>
  </si>
  <si>
    <t>3-Way, Lock Lever Type, 램프형</t>
    <phoneticPr fontId="9" type="noConversion"/>
  </si>
  <si>
    <t>VCEFCMHBX8320G174MO</t>
    <phoneticPr fontId="9" type="noConversion"/>
  </si>
  <si>
    <t>VCEFCMHBX8320G174MO</t>
  </si>
  <si>
    <t>ExdIICT3</t>
  </si>
  <si>
    <t>3-Way, H-Class, Junction Box, Manual Operator</t>
  </si>
  <si>
    <t>SPDT</t>
    <phoneticPr fontId="9" type="noConversion"/>
  </si>
  <si>
    <t>Close/Open</t>
    <phoneticPr fontId="9" type="noConversion"/>
  </si>
  <si>
    <t>4SPDT</t>
  </si>
  <si>
    <t>Close/Open</t>
  </si>
  <si>
    <t>APL-314N</t>
    <phoneticPr fontId="9" type="noConversion"/>
  </si>
  <si>
    <t>DPDT</t>
    <phoneticPr fontId="9" type="noConversion"/>
  </si>
  <si>
    <t>GLAA20A2A</t>
  </si>
  <si>
    <t>DPDT</t>
  </si>
  <si>
    <t>TS-410</t>
  </si>
  <si>
    <t>ExdIICT5/T6</t>
  </si>
  <si>
    <t>SPDT</t>
  </si>
  <si>
    <t>AR-1501</t>
    <phoneticPr fontId="9" type="noConversion"/>
  </si>
  <si>
    <t>AR-2501</t>
    <phoneticPr fontId="9" type="noConversion"/>
  </si>
  <si>
    <t>TS300</t>
    <phoneticPr fontId="9" type="noConversion"/>
  </si>
  <si>
    <t>YT-200-2 (고온용)</t>
    <phoneticPr fontId="9" type="noConversion"/>
  </si>
  <si>
    <t>YT-200</t>
    <phoneticPr fontId="9" type="noConversion"/>
  </si>
  <si>
    <t>YT-200-H</t>
    <phoneticPr fontId="9" type="noConversion"/>
  </si>
  <si>
    <t>LV-2000D</t>
    <phoneticPr fontId="9" type="noConversion"/>
  </si>
  <si>
    <t>LV-2000S</t>
    <phoneticPr fontId="9" type="noConversion"/>
  </si>
  <si>
    <t>5-Way, Lock Type</t>
  </si>
  <si>
    <t>DC24V</t>
  </si>
  <si>
    <t>RDS5120-03</t>
  </si>
  <si>
    <t>5-Way</t>
  </si>
  <si>
    <t>TS-400</t>
  </si>
  <si>
    <t>SAR25D</t>
  </si>
  <si>
    <t>Positioner</t>
    <phoneticPr fontId="5" type="noConversion"/>
  </si>
  <si>
    <t>Solenoid Valve</t>
    <phoneticPr fontId="5" type="noConversion"/>
  </si>
  <si>
    <t>Limit Switch</t>
    <phoneticPr fontId="5" type="noConversion"/>
  </si>
  <si>
    <t>Air Operated Valve</t>
    <phoneticPr fontId="5" type="noConversion"/>
  </si>
  <si>
    <t>Proval</t>
  </si>
  <si>
    <t>YT-320P-1</t>
  </si>
  <si>
    <t>Rotork</t>
    <phoneticPr fontId="5" type="noConversion"/>
  </si>
  <si>
    <t>Volume booster</t>
    <phoneticPr fontId="5" type="noConversion"/>
  </si>
  <si>
    <t>2-Wire</t>
  </si>
  <si>
    <t>시리즈</t>
    <phoneticPr fontId="5" type="noConversion"/>
  </si>
  <si>
    <t>CLOSE AT</t>
    <phoneticPr fontId="5" type="noConversion"/>
  </si>
  <si>
    <t>OPEN AT</t>
    <phoneticPr fontId="5" type="noConversion"/>
  </si>
  <si>
    <t>A-220M</t>
    <phoneticPr fontId="5" type="noConversion"/>
  </si>
  <si>
    <t>A-360M</t>
    <phoneticPr fontId="5" type="noConversion"/>
  </si>
  <si>
    <t>A-430M</t>
    <phoneticPr fontId="5" type="noConversion"/>
  </si>
  <si>
    <t>A-520M</t>
    <phoneticPr fontId="5" type="noConversion"/>
  </si>
  <si>
    <t>Close</t>
    <phoneticPr fontId="5" type="noConversion"/>
  </si>
  <si>
    <t>Painting Color</t>
    <phoneticPr fontId="5" type="noConversion"/>
  </si>
  <si>
    <t>Painting Type</t>
    <phoneticPr fontId="5" type="noConversion"/>
  </si>
  <si>
    <t>A 시리즈
[PROVAL]</t>
    <phoneticPr fontId="5" type="noConversion"/>
  </si>
  <si>
    <t>Model No.</t>
  </si>
  <si>
    <t>MFG.</t>
    <phoneticPr fontId="5" type="noConversion"/>
  </si>
  <si>
    <t>Supply Setting Pressure (bar G)</t>
    <phoneticPr fontId="5" type="noConversion"/>
  </si>
  <si>
    <t>H.W</t>
    <phoneticPr fontId="5" type="noConversion"/>
  </si>
  <si>
    <t>Air-set</t>
    <phoneticPr fontId="5" type="noConversion"/>
  </si>
  <si>
    <t>Lockup valve</t>
    <phoneticPr fontId="5" type="noConversion"/>
  </si>
  <si>
    <t>Setting Pressure (bar G)</t>
    <phoneticPr fontId="5" type="noConversion"/>
  </si>
  <si>
    <t>SNAP-ACTING
RELAY</t>
    <phoneticPr fontId="5" type="noConversion"/>
  </si>
  <si>
    <t>Type / Location</t>
  </si>
  <si>
    <t>Painting Color (RAL No.)</t>
  </si>
  <si>
    <t>Input Signal (mA DC)</t>
    <phoneticPr fontId="5" type="noConversion"/>
  </si>
  <si>
    <t>Output (mA DC)</t>
    <phoneticPr fontId="5" type="noConversion"/>
  </si>
  <si>
    <t>Air-Operated Valve</t>
    <phoneticPr fontId="5" type="noConversion"/>
  </si>
  <si>
    <t>Volume Booster</t>
    <phoneticPr fontId="5" type="noConversion"/>
  </si>
  <si>
    <t>Actuator Type</t>
    <phoneticPr fontId="9" type="noConversion"/>
  </si>
  <si>
    <t>Close/Open At</t>
    <phoneticPr fontId="9" type="noConversion"/>
  </si>
  <si>
    <t>Fail Position</t>
    <phoneticPr fontId="9" type="noConversion"/>
  </si>
  <si>
    <t>Painting Color</t>
    <phoneticPr fontId="9" type="noConversion"/>
  </si>
  <si>
    <t>Painting Type</t>
    <phoneticPr fontId="9" type="noConversion"/>
  </si>
  <si>
    <t>Type / Location</t>
    <phoneticPr fontId="9" type="noConversion"/>
  </si>
  <si>
    <t>H.W Painting Color</t>
    <phoneticPr fontId="9" type="noConversion"/>
  </si>
  <si>
    <t>H.W Painting Type</t>
    <phoneticPr fontId="9" type="noConversion"/>
  </si>
  <si>
    <t>Model No. / MFG.</t>
    <phoneticPr fontId="5" type="noConversion"/>
  </si>
  <si>
    <t>R7S + V/T</t>
  </si>
  <si>
    <t>TS600RC11S0</t>
    <phoneticPr fontId="9" type="noConversion"/>
  </si>
  <si>
    <t>1*Close</t>
    <phoneticPr fontId="9" type="noConversion"/>
  </si>
  <si>
    <t>Screwed / Side</t>
    <phoneticPr fontId="5" type="noConversion"/>
  </si>
  <si>
    <t>Declutchable</t>
    <phoneticPr fontId="5" type="noConversion"/>
  </si>
  <si>
    <t>H.W</t>
  </si>
  <si>
    <t>입력값</t>
    <phoneticPr fontId="5" type="noConversion"/>
  </si>
  <si>
    <t>출력값</t>
    <phoneticPr fontId="5" type="noConversion"/>
  </si>
  <si>
    <t>Positioner</t>
  </si>
  <si>
    <t>출력값 (POSITIONER)</t>
    <phoneticPr fontId="5" type="noConversion"/>
  </si>
  <si>
    <t>출력값 (TRANSMITTER)</t>
    <phoneticPr fontId="5" type="noConversion"/>
  </si>
  <si>
    <t>Limit Switch</t>
  </si>
  <si>
    <t>SNAP-ACTING RELAY</t>
    <phoneticPr fontId="5" type="noConversion"/>
  </si>
  <si>
    <t>Open</t>
    <phoneticPr fontId="5" type="noConversion"/>
  </si>
  <si>
    <t>C-300</t>
    <phoneticPr fontId="5" type="noConversion"/>
  </si>
  <si>
    <t>VCEFCMHBX8320G174MO-AC220V</t>
    <phoneticPr fontId="5" type="noConversion"/>
  </si>
  <si>
    <t>VB-1000PS(TS100)</t>
    <phoneticPr fontId="5" type="noConversion"/>
  </si>
  <si>
    <t>B3S</t>
    <phoneticPr fontId="5" type="noConversion"/>
  </si>
  <si>
    <t>B4S</t>
  </si>
  <si>
    <t>B6S</t>
  </si>
  <si>
    <t>C-300S</t>
    <phoneticPr fontId="5" type="noConversion"/>
  </si>
  <si>
    <t>B3SR</t>
    <phoneticPr fontId="5" type="noConversion"/>
  </si>
  <si>
    <t>B1S</t>
    <phoneticPr fontId="5" type="noConversion"/>
  </si>
  <si>
    <t>PX8576(S) -BLACK(AB-1)</t>
    <phoneticPr fontId="5" type="noConversion"/>
  </si>
  <si>
    <t>B2S</t>
    <phoneticPr fontId="5" type="noConversion"/>
  </si>
  <si>
    <t>B5SR</t>
    <phoneticPr fontId="5" type="noConversion"/>
  </si>
  <si>
    <t>C-400S</t>
  </si>
  <si>
    <t>C-450S</t>
  </si>
  <si>
    <t>C-500S</t>
  </si>
  <si>
    <t>B0SR</t>
    <phoneticPr fontId="5" type="noConversion"/>
  </si>
  <si>
    <t>R8SR</t>
  </si>
  <si>
    <t>R9SR</t>
  </si>
  <si>
    <t>Azbil</t>
  </si>
  <si>
    <t>Proval</t>
    <phoneticPr fontId="5" type="noConversion"/>
  </si>
  <si>
    <t>CKD</t>
  </si>
  <si>
    <t>HKC</t>
  </si>
  <si>
    <t>VB-1000</t>
  </si>
  <si>
    <t>CKD</t>
    <phoneticPr fontId="5" type="noConversion"/>
  </si>
  <si>
    <t>SM</t>
  </si>
  <si>
    <t>PG</t>
  </si>
  <si>
    <t>TSC</t>
  </si>
  <si>
    <t>PG</t>
    <phoneticPr fontId="5" type="noConversion"/>
  </si>
  <si>
    <t>Honeywell</t>
  </si>
  <si>
    <t>Rotork</t>
  </si>
  <si>
    <t>5/2-Way</t>
  </si>
  <si>
    <t>ESV-S</t>
  </si>
  <si>
    <t>Qlight</t>
  </si>
  <si>
    <t>TSC</t>
    <phoneticPr fontId="5" type="noConversion"/>
  </si>
  <si>
    <t>KANEKO</t>
    <phoneticPr fontId="5" type="noConversion"/>
  </si>
  <si>
    <t>15~30V DC / 2-Wire</t>
    <phoneticPr fontId="5" type="noConversion"/>
  </si>
  <si>
    <t>KANEKO</t>
  </si>
  <si>
    <t>SYC</t>
  </si>
  <si>
    <t>SYC</t>
    <phoneticPr fontId="5" type="noConversion"/>
  </si>
  <si>
    <t>ASCO</t>
    <phoneticPr fontId="5" type="noConversion"/>
  </si>
  <si>
    <t>ASCO</t>
  </si>
  <si>
    <t>2-Wire</t>
    <phoneticPr fontId="5" type="noConversion"/>
  </si>
  <si>
    <t>TS600R-C</t>
  </si>
  <si>
    <t>TS900L</t>
  </si>
  <si>
    <t>YT-1200L</t>
    <phoneticPr fontId="5" type="noConversion"/>
  </si>
  <si>
    <t>YT-3300L</t>
    <phoneticPr fontId="5" type="noConversion"/>
  </si>
  <si>
    <t>AW30-03-A</t>
  </si>
  <si>
    <t>B7019-2C-M</t>
  </si>
  <si>
    <t>YT-220</t>
    <phoneticPr fontId="5" type="noConversion"/>
  </si>
  <si>
    <t>TPC</t>
    <phoneticPr fontId="5" type="noConversion"/>
  </si>
  <si>
    <t>SV-410D</t>
  </si>
  <si>
    <t>APL-510N</t>
  </si>
  <si>
    <t>SV-210M</t>
  </si>
  <si>
    <t>Act Size</t>
    <phoneticPr fontId="5" type="noConversion"/>
  </si>
  <si>
    <t>Action Type</t>
  </si>
  <si>
    <t>Action Type</t>
    <phoneticPr fontId="5" type="noConversion"/>
  </si>
  <si>
    <t>C-200</t>
    <phoneticPr fontId="5" type="noConversion"/>
  </si>
  <si>
    <t>B5S</t>
    <phoneticPr fontId="5" type="noConversion"/>
  </si>
  <si>
    <t>R6S</t>
    <phoneticPr fontId="5" type="noConversion"/>
  </si>
  <si>
    <t>Double</t>
    <phoneticPr fontId="5" type="noConversion"/>
  </si>
  <si>
    <t>SPECIAL</t>
    <phoneticPr fontId="5" type="noConversion"/>
  </si>
  <si>
    <t>Actuator Type (1)</t>
    <phoneticPr fontId="5" type="noConversion"/>
  </si>
  <si>
    <t>Diaphragm</t>
  </si>
  <si>
    <t>Actuator Type (2)</t>
    <phoneticPr fontId="5" type="noConversion"/>
  </si>
  <si>
    <t>Cylinder</t>
  </si>
  <si>
    <t>Single Acting</t>
  </si>
  <si>
    <t>Double Acting</t>
  </si>
  <si>
    <t>■ POSITIONER</t>
    <phoneticPr fontId="5" type="noConversion"/>
  </si>
  <si>
    <t>■ AIR-SET</t>
    <phoneticPr fontId="5" type="noConversion"/>
  </si>
  <si>
    <t>사양선정결과</t>
    <phoneticPr fontId="5" type="noConversion"/>
  </si>
  <si>
    <t>VB-1000NS(TS100)</t>
    <phoneticPr fontId="5" type="noConversion"/>
  </si>
  <si>
    <t>Act Series</t>
    <phoneticPr fontId="5" type="noConversion"/>
  </si>
  <si>
    <t>A시리즈</t>
  </si>
  <si>
    <t>SPECIAL</t>
  </si>
  <si>
    <t>Levered</t>
  </si>
  <si>
    <t>Fail Position</t>
  </si>
  <si>
    <t>A시리즈</t>
    <phoneticPr fontId="5" type="noConversion"/>
  </si>
  <si>
    <t>■ HANDLE</t>
    <phoneticPr fontId="5" type="noConversion"/>
  </si>
  <si>
    <t>■ ACTUATOR (1/2)</t>
    <phoneticPr fontId="5" type="noConversion"/>
  </si>
  <si>
    <t>■ ACTUATOR (2/2)</t>
    <phoneticPr fontId="5" type="noConversion"/>
  </si>
  <si>
    <t>Screwed</t>
  </si>
  <si>
    <t>Worm-Gear-Top</t>
  </si>
  <si>
    <t>Worm-Gear-Side</t>
  </si>
  <si>
    <t>Worm-Gear / Top</t>
    <phoneticPr fontId="5" type="noConversion"/>
  </si>
  <si>
    <t>■ SOLENOID VALVE</t>
    <phoneticPr fontId="5" type="noConversion"/>
  </si>
  <si>
    <t>■ LIMIT SWITCH</t>
    <phoneticPr fontId="5" type="noConversion"/>
  </si>
  <si>
    <t>■ LOCKUP VALVE</t>
    <phoneticPr fontId="5" type="noConversion"/>
  </si>
  <si>
    <t>■ SNAP-ACTING RELAY</t>
    <phoneticPr fontId="5" type="noConversion"/>
  </si>
  <si>
    <t>■ AIR OPERATED VALVE</t>
    <phoneticPr fontId="5" type="noConversion"/>
  </si>
  <si>
    <t>■ VOLUME BOOSTER</t>
    <phoneticPr fontId="5" type="noConversion"/>
  </si>
  <si>
    <t>25A용</t>
    <phoneticPr fontId="5" type="noConversion"/>
  </si>
  <si>
    <t>B1</t>
    <phoneticPr fontId="5" type="noConversion"/>
  </si>
  <si>
    <t>Screwed / Top</t>
    <phoneticPr fontId="5" type="noConversion"/>
  </si>
  <si>
    <t>DA (Open)</t>
  </si>
  <si>
    <t>RA (Close)</t>
  </si>
  <si>
    <t>DA (Open)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</si>
</sst>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0.0_);[Red]\(0.0\)"/>
    <numFmt numFmtId="177" formatCode="0.0"/>
  </numFmts>
  <fonts count="49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16"/>
      <name val="Arial Narrow"/>
      <family val="2"/>
    </font>
    <font>
      <sz val="8"/>
      <name val="맑은 고딕"/>
      <family val="3"/>
      <charset val="129"/>
      <scheme val="minor"/>
    </font>
    <font>
      <b/>
      <sz val="20"/>
      <name val="Arial Narrow"/>
      <family val="2"/>
    </font>
    <font>
      <sz val="8"/>
      <name val="돋움"/>
      <family val="3"/>
      <charset val="129"/>
    </font>
    <font>
      <b/>
      <sz val="9"/>
      <name val="Arial Narrow"/>
      <family val="2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1"/>
      <name val="Arial Narrow"/>
      <family val="2"/>
    </font>
    <font>
      <sz val="8.5"/>
      <name val="Arial Narrow"/>
      <family val="2"/>
    </font>
    <font>
      <sz val="10"/>
      <name val="Times New Roman"/>
      <family val="1"/>
    </font>
    <font>
      <b/>
      <sz val="9"/>
      <color theme="1"/>
      <name val="Arial Narrow"/>
      <family val="2"/>
    </font>
    <font>
      <b/>
      <sz val="8"/>
      <name val="Arial Narrow"/>
      <family val="2"/>
    </font>
    <font>
      <b/>
      <sz val="6"/>
      <name val="Arial Narrow"/>
      <family val="2"/>
    </font>
    <font>
      <sz val="10"/>
      <name val="MS Sans Serif"/>
      <family val="2"/>
    </font>
    <font>
      <b/>
      <sz val="9"/>
      <color indexed="8"/>
      <name val="Arial Narrow"/>
      <family val="2"/>
    </font>
    <font>
      <b/>
      <sz val="9"/>
      <color rgb="FF000000"/>
      <name val="Segoe UI Symbol"/>
      <family val="2"/>
    </font>
    <font>
      <b/>
      <sz val="7"/>
      <name val="Arial Narrow"/>
      <family val="2"/>
    </font>
    <font>
      <b/>
      <sz val="9"/>
      <name val="Arial Narrow"/>
      <family val="2"/>
      <charset val="134"/>
    </font>
    <font>
      <sz val="11"/>
      <name val="Arial Narrow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10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19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b/>
      <sz val="15"/>
      <color indexed="62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0"/>
      <name val="Arial"/>
      <family val="2"/>
    </font>
    <font>
      <b/>
      <sz val="16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46"/>
      </patternFill>
    </fill>
    <fill>
      <patternFill patternType="solid">
        <fgColor indexed="5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53">
    <xf numFmtId="0" fontId="0" fillId="0" borderId="0"/>
    <xf numFmtId="0" fontId="3" fillId="0" borderId="0"/>
    <xf numFmtId="0" fontId="3" fillId="0" borderId="0">
      <alignment vertical="center"/>
    </xf>
    <xf numFmtId="0" fontId="20" fillId="0" borderId="0"/>
    <xf numFmtId="0" fontId="16" fillId="0" borderId="0"/>
    <xf numFmtId="0" fontId="3" fillId="0" borderId="0"/>
    <xf numFmtId="0" fontId="2" fillId="0" borderId="0">
      <alignment vertical="center"/>
    </xf>
    <xf numFmtId="0" fontId="29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22" borderId="63" applyNumberFormat="0" applyAlignment="0" applyProtection="0">
      <alignment vertical="center"/>
    </xf>
    <xf numFmtId="0" fontId="31" fillId="0" borderId="64" applyNumberFormat="0" applyFill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66" applyNumberFormat="0" applyFill="0" applyAlignment="0" applyProtection="0">
      <alignment vertical="center"/>
    </xf>
    <xf numFmtId="0" fontId="41" fillId="0" borderId="67" applyNumberFormat="0" applyFill="0" applyAlignment="0" applyProtection="0">
      <alignment vertical="center"/>
    </xf>
    <xf numFmtId="0" fontId="42" fillId="0" borderId="6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4" fillId="20" borderId="69" applyNumberFormat="0" applyAlignment="0" applyProtection="0">
      <alignment vertical="center"/>
    </xf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45" fillId="0" borderId="0"/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38" fillId="12" borderId="61" applyNumberForma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2" fillId="0" borderId="68" applyNumberFormat="0" applyFill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32" fillId="20" borderId="61" applyNumberFormat="0" applyAlignment="0" applyProtection="0">
      <alignment vertical="center"/>
    </xf>
    <xf numFmtId="0" fontId="16" fillId="9" borderId="62" applyNumberFormat="0" applyFont="0" applyAlignment="0" applyProtection="0">
      <alignment vertical="center"/>
    </xf>
    <xf numFmtId="0" fontId="37" fillId="0" borderId="65" applyNumberFormat="0" applyFill="0" applyAlignment="0" applyProtection="0">
      <alignment vertical="center"/>
    </xf>
    <xf numFmtId="0" fontId="38" fillId="12" borderId="61" applyNumberFormat="0" applyAlignment="0" applyProtection="0">
      <alignment vertical="center"/>
    </xf>
    <xf numFmtId="0" fontId="44" fillId="20" borderId="69" applyNumberFormat="0" applyAlignment="0" applyProtection="0">
      <alignment vertical="center"/>
    </xf>
    <xf numFmtId="0" fontId="1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406">
    <xf numFmtId="0" fontId="0" fillId="0" borderId="0" xfId="0"/>
    <xf numFmtId="0" fontId="8" fillId="2" borderId="5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2" borderId="10" xfId="1" applyFont="1" applyFill="1" applyBorder="1" applyAlignment="1">
      <alignment horizontal="left" vertical="center"/>
    </xf>
    <xf numFmtId="0" fontId="8" fillId="2" borderId="11" xfId="1" applyFont="1" applyFill="1" applyBorder="1" applyAlignment="1">
      <alignment horizontal="left" vertical="center"/>
    </xf>
    <xf numFmtId="0" fontId="11" fillId="2" borderId="0" xfId="2" applyFont="1" applyFill="1">
      <alignment vertical="center"/>
    </xf>
    <xf numFmtId="0" fontId="8" fillId="2" borderId="15" xfId="1" applyFont="1" applyFill="1" applyBorder="1" applyAlignment="1">
      <alignment vertical="center"/>
    </xf>
    <xf numFmtId="0" fontId="8" fillId="2" borderId="18" xfId="1" applyFont="1" applyFill="1" applyBorder="1" applyAlignment="1">
      <alignment vertical="center"/>
    </xf>
    <xf numFmtId="0" fontId="8" fillId="2" borderId="16" xfId="1" applyFont="1" applyFill="1" applyBorder="1" applyAlignment="1">
      <alignment vertical="center"/>
    </xf>
    <xf numFmtId="0" fontId="8" fillId="2" borderId="25" xfId="1" applyFont="1" applyFill="1" applyBorder="1" applyAlignment="1">
      <alignment vertical="center"/>
    </xf>
    <xf numFmtId="0" fontId="8" fillId="2" borderId="24" xfId="1" applyFont="1" applyFill="1" applyBorder="1" applyAlignment="1">
      <alignment vertical="center"/>
    </xf>
    <xf numFmtId="0" fontId="8" fillId="2" borderId="23" xfId="1" applyFont="1" applyFill="1" applyBorder="1" applyAlignment="1">
      <alignment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8" fillId="2" borderId="5" xfId="1" applyFont="1" applyFill="1" applyBorder="1" applyAlignment="1" applyProtection="1">
      <alignment horizontal="left" vertical="center"/>
      <protection hidden="1"/>
    </xf>
    <xf numFmtId="0" fontId="8" fillId="2" borderId="5" xfId="1" applyFont="1" applyFill="1" applyBorder="1" applyAlignment="1">
      <alignment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vertical="center"/>
    </xf>
    <xf numFmtId="0" fontId="8" fillId="2" borderId="15" xfId="1" applyFont="1" applyFill="1" applyBorder="1" applyAlignment="1">
      <alignment horizontal="left" vertical="center"/>
    </xf>
    <xf numFmtId="0" fontId="8" fillId="2" borderId="39" xfId="1" applyFont="1" applyFill="1" applyBorder="1" applyAlignment="1">
      <alignment vertical="center"/>
    </xf>
    <xf numFmtId="0" fontId="8" fillId="2" borderId="40" xfId="1" applyFont="1" applyFill="1" applyBorder="1" applyAlignment="1">
      <alignment vertical="center"/>
    </xf>
    <xf numFmtId="0" fontId="11" fillId="2" borderId="21" xfId="2" applyFont="1" applyFill="1" applyBorder="1">
      <alignment vertical="center"/>
    </xf>
    <xf numFmtId="0" fontId="8" fillId="2" borderId="25" xfId="1" applyFont="1" applyFill="1" applyBorder="1" applyAlignment="1">
      <alignment horizontal="left" vertical="center"/>
    </xf>
    <xf numFmtId="0" fontId="21" fillId="2" borderId="12" xfId="3" applyFont="1" applyFill="1" applyBorder="1" applyAlignment="1">
      <alignment vertical="center"/>
    </xf>
    <xf numFmtId="0" fontId="21" fillId="2" borderId="41" xfId="3" applyFont="1" applyFill="1" applyBorder="1" applyAlignment="1">
      <alignment vertical="center"/>
    </xf>
    <xf numFmtId="0" fontId="21" fillId="2" borderId="15" xfId="3" applyFont="1" applyFill="1" applyBorder="1" applyAlignment="1">
      <alignment vertical="center"/>
    </xf>
    <xf numFmtId="0" fontId="21" fillId="2" borderId="39" xfId="3" applyFont="1" applyFill="1" applyBorder="1" applyAlignment="1">
      <alignment vertical="center"/>
    </xf>
    <xf numFmtId="0" fontId="21" fillId="2" borderId="25" xfId="3" applyFont="1" applyFill="1" applyBorder="1" applyAlignment="1">
      <alignment vertical="center"/>
    </xf>
    <xf numFmtId="0" fontId="8" fillId="2" borderId="41" xfId="1" applyFont="1" applyFill="1" applyBorder="1" applyAlignment="1">
      <alignment vertical="center"/>
    </xf>
    <xf numFmtId="0" fontId="8" fillId="2" borderId="41" xfId="1" applyFont="1" applyFill="1" applyBorder="1" applyAlignment="1">
      <alignment horizontal="left" vertical="center"/>
    </xf>
    <xf numFmtId="0" fontId="8" fillId="2" borderId="41" xfId="1" applyFont="1" applyFill="1" applyBorder="1" applyAlignment="1">
      <alignment vertical="center" wrapText="1"/>
    </xf>
    <xf numFmtId="49" fontId="8" fillId="2" borderId="15" xfId="4" applyNumberFormat="1" applyFont="1" applyFill="1" applyBorder="1" applyAlignment="1" applyProtection="1">
      <alignment vertical="center"/>
      <protection locked="0"/>
    </xf>
    <xf numFmtId="0" fontId="8" fillId="2" borderId="39" xfId="1" applyFont="1" applyFill="1" applyBorder="1" applyAlignment="1">
      <alignment vertical="center" wrapText="1"/>
    </xf>
    <xf numFmtId="0" fontId="8" fillId="2" borderId="16" xfId="1" applyFont="1" applyFill="1" applyBorder="1" applyAlignment="1" applyProtection="1">
      <alignment vertical="center"/>
      <protection locked="0"/>
    </xf>
    <xf numFmtId="0" fontId="8" fillId="2" borderId="16" xfId="1" applyFont="1" applyFill="1" applyBorder="1" applyAlignment="1" applyProtection="1">
      <alignment horizontal="left" vertical="center"/>
      <protection locked="0"/>
    </xf>
    <xf numFmtId="0" fontId="11" fillId="2" borderId="0" xfId="2" applyFont="1" applyFill="1" applyAlignment="1">
      <alignment horizontal="center" vertical="center"/>
    </xf>
    <xf numFmtId="0" fontId="8" fillId="2" borderId="40" xfId="4" applyFont="1" applyFill="1" applyBorder="1" applyAlignment="1" applyProtection="1">
      <alignment vertical="center" wrapText="1"/>
      <protection locked="0"/>
    </xf>
    <xf numFmtId="0" fontId="8" fillId="2" borderId="10" xfId="1" applyFont="1" applyFill="1" applyBorder="1" applyAlignment="1">
      <alignment vertical="center"/>
    </xf>
    <xf numFmtId="0" fontId="8" fillId="2" borderId="48" xfId="1" applyFont="1" applyFill="1" applyBorder="1" applyAlignment="1">
      <alignment vertical="center"/>
    </xf>
    <xf numFmtId="0" fontId="8" fillId="2" borderId="39" xfId="1" applyFont="1" applyFill="1" applyBorder="1" applyAlignment="1" applyProtection="1">
      <alignment horizontal="left" vertical="center"/>
      <protection locked="0"/>
    </xf>
    <xf numFmtId="0" fontId="8" fillId="2" borderId="10" xfId="1" applyFont="1" applyFill="1" applyBorder="1" applyAlignment="1" applyProtection="1">
      <alignment horizontal="left" vertical="center"/>
      <protection locked="0"/>
    </xf>
    <xf numFmtId="0" fontId="8" fillId="2" borderId="51" xfId="1" applyFont="1" applyFill="1" applyBorder="1" applyAlignment="1" applyProtection="1">
      <alignment horizontal="left" vertical="center"/>
      <protection locked="0"/>
    </xf>
    <xf numFmtId="0" fontId="8" fillId="2" borderId="15" xfId="1" applyFont="1" applyFill="1" applyBorder="1" applyAlignment="1" applyProtection="1">
      <alignment horizontal="left" vertical="center"/>
      <protection locked="0"/>
    </xf>
    <xf numFmtId="0" fontId="8" fillId="2" borderId="17" xfId="1" applyFont="1" applyFill="1" applyBorder="1" applyAlignment="1" applyProtection="1">
      <alignment horizontal="left" vertical="center"/>
      <protection locked="0"/>
    </xf>
    <xf numFmtId="0" fontId="8" fillId="2" borderId="25" xfId="1" applyFont="1" applyFill="1" applyBorder="1" applyAlignment="1" applyProtection="1">
      <alignment horizontal="left" vertical="center"/>
      <protection locked="0"/>
    </xf>
    <xf numFmtId="0" fontId="8" fillId="2" borderId="23" xfId="1" applyFont="1" applyFill="1" applyBorder="1" applyAlignment="1" applyProtection="1">
      <alignment horizontal="left" vertical="center"/>
      <protection locked="0"/>
    </xf>
    <xf numFmtId="0" fontId="8" fillId="2" borderId="26" xfId="1" applyFont="1" applyFill="1" applyBorder="1" applyAlignment="1" applyProtection="1">
      <alignment horizontal="left" vertical="center"/>
      <protection locked="0"/>
    </xf>
    <xf numFmtId="49" fontId="8" fillId="2" borderId="13" xfId="5" applyNumberFormat="1" applyFont="1" applyFill="1" applyBorder="1" applyAlignment="1">
      <alignment horizontal="center" vertical="center"/>
    </xf>
    <xf numFmtId="49" fontId="8" fillId="2" borderId="28" xfId="5" applyNumberFormat="1" applyFont="1" applyFill="1" applyBorder="1" applyAlignment="1">
      <alignment horizontal="center" vertical="center"/>
    </xf>
    <xf numFmtId="49" fontId="8" fillId="2" borderId="12" xfId="5" applyNumberFormat="1" applyFont="1" applyFill="1" applyBorder="1" applyAlignment="1">
      <alignment horizontal="center" vertical="center"/>
    </xf>
    <xf numFmtId="0" fontId="8" fillId="2" borderId="13" xfId="1" applyFont="1" applyFill="1" applyBorder="1" applyAlignment="1" applyProtection="1">
      <alignment horizontal="left" vertical="center"/>
      <protection locked="0"/>
    </xf>
    <xf numFmtId="49" fontId="8" fillId="2" borderId="12" xfId="5" applyNumberFormat="1" applyFont="1" applyFill="1" applyBorder="1" applyAlignment="1">
      <alignment vertical="center"/>
    </xf>
    <xf numFmtId="49" fontId="8" fillId="2" borderId="13" xfId="5" applyNumberFormat="1" applyFont="1" applyFill="1" applyBorder="1" applyAlignment="1">
      <alignment vertical="center"/>
    </xf>
    <xf numFmtId="49" fontId="8" fillId="2" borderId="10" xfId="5" applyNumberFormat="1" applyFont="1" applyFill="1" applyBorder="1" applyAlignment="1">
      <alignment vertical="center"/>
    </xf>
    <xf numFmtId="14" fontId="8" fillId="2" borderId="39" xfId="5" applyNumberFormat="1" applyFont="1" applyFill="1" applyBorder="1" applyAlignment="1">
      <alignment horizontal="center" vertical="center"/>
    </xf>
    <xf numFmtId="14" fontId="8" fillId="2" borderId="10" xfId="5" applyNumberFormat="1" applyFont="1" applyFill="1" applyBorder="1" applyAlignment="1">
      <alignment horizontal="center" vertical="center"/>
    </xf>
    <xf numFmtId="49" fontId="8" fillId="2" borderId="10" xfId="5" applyNumberFormat="1" applyFont="1" applyFill="1" applyBorder="1" applyAlignment="1">
      <alignment horizontal="center" vertical="center"/>
    </xf>
    <xf numFmtId="14" fontId="8" fillId="2" borderId="11" xfId="5" applyNumberFormat="1" applyFont="1" applyFill="1" applyBorder="1" applyAlignment="1">
      <alignment horizontal="center" vertical="center"/>
    </xf>
    <xf numFmtId="49" fontId="8" fillId="2" borderId="39" xfId="5" applyNumberFormat="1" applyFont="1" applyFill="1" applyBorder="1" applyAlignment="1">
      <alignment horizontal="center" vertical="center"/>
    </xf>
    <xf numFmtId="49" fontId="8" fillId="2" borderId="16" xfId="5" applyNumberFormat="1" applyFont="1" applyFill="1" applyBorder="1" applyAlignment="1">
      <alignment horizontal="center" vertical="center"/>
    </xf>
    <xf numFmtId="49" fontId="8" fillId="2" borderId="18" xfId="5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vertical="center"/>
    </xf>
    <xf numFmtId="0" fontId="26" fillId="3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 shrinkToFit="1"/>
    </xf>
    <xf numFmtId="0" fontId="27" fillId="0" borderId="19" xfId="0" applyFont="1" applyBorder="1" applyAlignment="1">
      <alignment vertical="center"/>
    </xf>
    <xf numFmtId="0" fontId="27" fillId="2" borderId="19" xfId="0" applyFont="1" applyFill="1" applyBorder="1" applyAlignment="1">
      <alignment horizontal="center" vertical="center" shrinkToFit="1"/>
    </xf>
    <xf numFmtId="0" fontId="11" fillId="2" borderId="21" xfId="2" applyFont="1" applyFill="1" applyBorder="1" applyAlignment="1">
      <alignment horizontal="center" vertical="center"/>
    </xf>
    <xf numFmtId="0" fontId="11" fillId="2" borderId="19" xfId="2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 shrinkToFit="1"/>
    </xf>
    <xf numFmtId="0" fontId="0" fillId="0" borderId="19" xfId="0" applyBorder="1" applyAlignment="1">
      <alignment horizontal="center" vertical="center" shrinkToFit="1"/>
    </xf>
    <xf numFmtId="0" fontId="11" fillId="2" borderId="37" xfId="2" applyFont="1" applyFill="1" applyBorder="1" applyAlignment="1">
      <alignment horizontal="center" vertical="center"/>
    </xf>
    <xf numFmtId="0" fontId="11" fillId="2" borderId="38" xfId="2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 shrinkToFit="1"/>
    </xf>
    <xf numFmtId="177" fontId="27" fillId="0" borderId="19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 vertical="center" shrinkToFit="1"/>
    </xf>
    <xf numFmtId="0" fontId="11" fillId="5" borderId="70" xfId="2" applyFont="1" applyFill="1" applyBorder="1">
      <alignment vertical="center"/>
    </xf>
    <xf numFmtId="0" fontId="11" fillId="5" borderId="57" xfId="2" applyFont="1" applyFill="1" applyBorder="1" applyAlignment="1">
      <alignment horizontal="left" vertical="center"/>
    </xf>
    <xf numFmtId="0" fontId="11" fillId="5" borderId="58" xfId="2" applyFont="1" applyFill="1" applyBorder="1" applyAlignment="1">
      <alignment horizontal="left" vertical="center"/>
    </xf>
    <xf numFmtId="0" fontId="11" fillId="5" borderId="59" xfId="2" applyFont="1" applyFill="1" applyBorder="1" applyAlignment="1">
      <alignment horizontal="left" vertical="center"/>
    </xf>
    <xf numFmtId="0" fontId="11" fillId="5" borderId="60" xfId="2" applyFont="1" applyFill="1" applyBorder="1" applyAlignment="1">
      <alignment horizontal="left" vertical="center"/>
    </xf>
    <xf numFmtId="0" fontId="26" fillId="5" borderId="19" xfId="0" applyFont="1" applyFill="1" applyBorder="1" applyAlignment="1">
      <alignment horizontal="center" vertical="center" shrinkToFit="1"/>
    </xf>
    <xf numFmtId="0" fontId="26" fillId="23" borderId="19" xfId="0" applyFont="1" applyFill="1" applyBorder="1" applyAlignment="1">
      <alignment vertical="center"/>
    </xf>
    <xf numFmtId="0" fontId="13" fillId="23" borderId="19" xfId="2" applyFont="1" applyFill="1" applyBorder="1" applyAlignment="1">
      <alignment horizontal="center" vertical="center"/>
    </xf>
    <xf numFmtId="0" fontId="11" fillId="6" borderId="19" xfId="2" applyFont="1" applyFill="1" applyBorder="1" applyAlignment="1">
      <alignment horizontal="center" vertical="center"/>
    </xf>
    <xf numFmtId="0" fontId="11" fillId="24" borderId="19" xfId="2" applyFont="1" applyFill="1" applyBorder="1" applyAlignment="1">
      <alignment horizontal="center" vertical="center"/>
    </xf>
    <xf numFmtId="0" fontId="11" fillId="24" borderId="29" xfId="2" applyFont="1" applyFill="1" applyBorder="1" applyAlignment="1">
      <alignment horizontal="center" vertical="center"/>
    </xf>
    <xf numFmtId="0" fontId="11" fillId="6" borderId="30" xfId="2" applyFont="1" applyFill="1" applyBorder="1" applyAlignment="1">
      <alignment horizontal="center" vertical="center"/>
    </xf>
    <xf numFmtId="0" fontId="11" fillId="5" borderId="70" xfId="2" applyFont="1" applyFill="1" applyBorder="1" applyAlignment="1">
      <alignment horizontal="left" vertical="center"/>
    </xf>
    <xf numFmtId="0" fontId="0" fillId="2" borderId="1" xfId="0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13" fillId="2" borderId="0" xfId="2" applyFont="1" applyFill="1" applyAlignment="1">
      <alignment horizontal="center" vertical="center"/>
    </xf>
    <xf numFmtId="0" fontId="0" fillId="2" borderId="20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22" xfId="0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2" xfId="0" applyFont="1" applyFill="1" applyBorder="1" applyAlignment="1">
      <alignment vertical="center"/>
    </xf>
    <xf numFmtId="0" fontId="47" fillId="4" borderId="19" xfId="144" applyFont="1" applyFill="1" applyBorder="1" applyAlignment="1">
      <alignment horizontal="center" vertical="center"/>
    </xf>
    <xf numFmtId="0" fontId="47" fillId="4" borderId="19" xfId="144" applyFont="1" applyFill="1" applyBorder="1" applyAlignment="1">
      <alignment horizontal="center" vertical="center" shrinkToFit="1"/>
    </xf>
    <xf numFmtId="0" fontId="0" fillId="6" borderId="19" xfId="0" applyFill="1" applyBorder="1" applyAlignment="1">
      <alignment horizontal="left" vertical="center"/>
    </xf>
    <xf numFmtId="0" fontId="0" fillId="6" borderId="19" xfId="0" applyFill="1" applyBorder="1" applyAlignment="1">
      <alignment vertical="center"/>
    </xf>
    <xf numFmtId="0" fontId="26" fillId="0" borderId="0" xfId="0" applyFont="1" applyAlignment="1">
      <alignment vertical="center"/>
    </xf>
    <xf numFmtId="176" fontId="0" fillId="24" borderId="19" xfId="0" applyNumberFormat="1" applyFill="1" applyBorder="1" applyAlignment="1">
      <alignment horizontal="left" vertical="center"/>
    </xf>
    <xf numFmtId="0" fontId="0" fillId="24" borderId="19" xfId="0" applyFill="1" applyBorder="1" applyAlignment="1">
      <alignment vertical="center"/>
    </xf>
    <xf numFmtId="0" fontId="47" fillId="24" borderId="19" xfId="144" applyFont="1" applyFill="1" applyBorder="1" applyAlignment="1">
      <alignment horizontal="center" vertical="center" shrinkToFit="1"/>
    </xf>
    <xf numFmtId="0" fontId="47" fillId="24" borderId="19" xfId="144" applyFont="1" applyFill="1" applyBorder="1" applyAlignment="1">
      <alignment horizontal="center" vertical="center"/>
    </xf>
    <xf numFmtId="0" fontId="0" fillId="24" borderId="19" xfId="0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shrinkToFit="1"/>
    </xf>
    <xf numFmtId="0" fontId="46" fillId="0" borderId="0" xfId="0" applyFont="1" applyAlignment="1">
      <alignment horizontal="left" vertical="center"/>
    </xf>
    <xf numFmtId="176" fontId="0" fillId="0" borderId="19" xfId="0" applyNumberFormat="1" applyBorder="1" applyAlignment="1">
      <alignment horizontal="center" vertical="center"/>
    </xf>
    <xf numFmtId="177" fontId="11" fillId="24" borderId="35" xfId="2" applyNumberFormat="1" applyFont="1" applyFill="1" applyBorder="1" applyAlignment="1">
      <alignment horizontal="center" vertical="center"/>
    </xf>
    <xf numFmtId="177" fontId="11" fillId="24" borderId="19" xfId="2" applyNumberFormat="1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 shrinkToFit="1"/>
    </xf>
    <xf numFmtId="0" fontId="48" fillId="0" borderId="19" xfId="0" applyFont="1" applyBorder="1" applyAlignment="1">
      <alignment horizontal="center" vertical="center" shrinkToFit="1"/>
    </xf>
    <xf numFmtId="176" fontId="0" fillId="0" borderId="19" xfId="0" applyNumberFormat="1" applyBorder="1" applyAlignment="1">
      <alignment horizontal="center" vertical="center" shrinkToFit="1"/>
    </xf>
    <xf numFmtId="0" fontId="11" fillId="2" borderId="71" xfId="2" applyFont="1" applyFill="1" applyBorder="1" applyAlignment="1">
      <alignment horizontal="center" vertical="center"/>
    </xf>
    <xf numFmtId="0" fontId="11" fillId="2" borderId="7" xfId="2" applyFont="1" applyFill="1" applyBorder="1" applyAlignment="1">
      <alignment horizontal="center" vertical="center"/>
    </xf>
    <xf numFmtId="0" fontId="46" fillId="2" borderId="1" xfId="0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0" fontId="46" fillId="2" borderId="8" xfId="0" applyFont="1" applyFill="1" applyBorder="1" applyAlignment="1">
      <alignment horizontal="center" vertical="center"/>
    </xf>
    <xf numFmtId="0" fontId="46" fillId="2" borderId="0" xfId="0" applyFont="1" applyFill="1" applyAlignment="1">
      <alignment horizontal="center" vertical="center"/>
    </xf>
    <xf numFmtId="0" fontId="46" fillId="2" borderId="9" xfId="0" applyFont="1" applyFill="1" applyBorder="1" applyAlignment="1">
      <alignment horizontal="center" vertical="center"/>
    </xf>
    <xf numFmtId="0" fontId="46" fillId="2" borderId="20" xfId="0" applyFont="1" applyFill="1" applyBorder="1" applyAlignment="1">
      <alignment horizontal="center" vertical="center"/>
    </xf>
    <xf numFmtId="0" fontId="46" fillId="2" borderId="21" xfId="0" applyFont="1" applyFill="1" applyBorder="1" applyAlignment="1">
      <alignment horizontal="center" vertical="center"/>
    </xf>
    <xf numFmtId="0" fontId="46" fillId="2" borderId="22" xfId="0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8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4" fillId="2" borderId="9" xfId="1" applyFont="1" applyFill="1" applyBorder="1" applyAlignment="1">
      <alignment horizontal="center" vertical="center"/>
    </xf>
    <xf numFmtId="0" fontId="4" fillId="2" borderId="20" xfId="1" applyFont="1" applyFill="1" applyBorder="1" applyAlignment="1">
      <alignment horizontal="center" vertical="center"/>
    </xf>
    <xf numFmtId="0" fontId="4" fillId="2" borderId="21" xfId="1" applyFont="1" applyFill="1" applyBorder="1" applyAlignment="1">
      <alignment horizontal="center" vertical="center"/>
    </xf>
    <xf numFmtId="0" fontId="4" fillId="2" borderId="22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/>
    </xf>
    <xf numFmtId="0" fontId="6" fillId="2" borderId="6" xfId="1" applyFont="1" applyFill="1" applyBorder="1" applyAlignment="1">
      <alignment horizontal="center" vertical="center"/>
    </xf>
    <xf numFmtId="0" fontId="8" fillId="2" borderId="5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3" xfId="1" applyFont="1" applyFill="1" applyBorder="1" applyAlignment="1">
      <alignment horizontal="left" vertical="center"/>
    </xf>
    <xf numFmtId="0" fontId="8" fillId="2" borderId="14" xfId="1" applyFont="1" applyFill="1" applyBorder="1" applyAlignment="1">
      <alignment horizontal="left" vertical="center"/>
    </xf>
    <xf numFmtId="0" fontId="8" fillId="2" borderId="16" xfId="1" applyFont="1" applyFill="1" applyBorder="1" applyAlignment="1">
      <alignment horizontal="left" vertical="center"/>
    </xf>
    <xf numFmtId="0" fontId="8" fillId="2" borderId="17" xfId="1" applyFont="1" applyFill="1" applyBorder="1" applyAlignment="1">
      <alignment horizontal="left" vertical="center"/>
    </xf>
    <xf numFmtId="0" fontId="8" fillId="2" borderId="18" xfId="1" applyFont="1" applyFill="1" applyBorder="1" applyAlignment="1">
      <alignment horizontal="left" vertical="center"/>
    </xf>
    <xf numFmtId="0" fontId="8" fillId="2" borderId="23" xfId="1" applyFont="1" applyFill="1" applyBorder="1" applyAlignment="1" applyProtection="1">
      <alignment horizontal="left" vertical="center"/>
      <protection hidden="1"/>
    </xf>
    <xf numFmtId="0" fontId="8" fillId="2" borderId="24" xfId="1" applyFont="1" applyFill="1" applyBorder="1" applyAlignment="1" applyProtection="1">
      <alignment horizontal="left" vertical="center"/>
      <protection hidden="1"/>
    </xf>
    <xf numFmtId="0" fontId="8" fillId="2" borderId="23" xfId="1" applyFont="1" applyFill="1" applyBorder="1" applyAlignment="1">
      <alignment horizontal="left" vertical="center"/>
    </xf>
    <xf numFmtId="0" fontId="8" fillId="2" borderId="24" xfId="1" applyFont="1" applyFill="1" applyBorder="1" applyAlignment="1">
      <alignment horizontal="left" vertical="center"/>
    </xf>
    <xf numFmtId="0" fontId="8" fillId="2" borderId="25" xfId="1" applyFont="1" applyFill="1" applyBorder="1" applyAlignment="1">
      <alignment horizontal="center" vertical="center"/>
    </xf>
    <xf numFmtId="0" fontId="8" fillId="2" borderId="23" xfId="1" applyFont="1" applyFill="1" applyBorder="1" applyAlignment="1">
      <alignment horizontal="center" vertical="center"/>
    </xf>
    <xf numFmtId="0" fontId="8" fillId="2" borderId="26" xfId="1" applyFont="1" applyFill="1" applyBorder="1" applyAlignment="1">
      <alignment horizontal="center" vertical="center"/>
    </xf>
    <xf numFmtId="0" fontId="8" fillId="2" borderId="15" xfId="1" applyFont="1" applyFill="1" applyBorder="1" applyAlignment="1">
      <alignment horizontal="center" vertical="center"/>
    </xf>
    <xf numFmtId="0" fontId="8" fillId="2" borderId="16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12" fillId="6" borderId="19" xfId="2" applyFont="1" applyFill="1" applyBorder="1" applyAlignment="1">
      <alignment horizontal="center" vertical="center"/>
    </xf>
    <xf numFmtId="0" fontId="12" fillId="6" borderId="35" xfId="2" applyFont="1" applyFill="1" applyBorder="1" applyAlignment="1">
      <alignment horizontal="center" vertical="center"/>
    </xf>
    <xf numFmtId="0" fontId="11" fillId="24" borderId="15" xfId="2" applyFont="1" applyFill="1" applyBorder="1" applyAlignment="1">
      <alignment horizontal="center" vertical="center"/>
    </xf>
    <xf numFmtId="0" fontId="11" fillId="24" borderId="17" xfId="2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35" xfId="1" applyFont="1" applyFill="1" applyBorder="1" applyAlignment="1">
      <alignment horizontal="center" vertical="center"/>
    </xf>
    <xf numFmtId="0" fontId="15" fillId="2" borderId="15" xfId="1" applyFont="1" applyFill="1" applyBorder="1" applyAlignment="1">
      <alignment horizontal="center" vertical="center" shrinkToFit="1"/>
    </xf>
    <xf numFmtId="0" fontId="15" fillId="2" borderId="18" xfId="1" applyFont="1" applyFill="1" applyBorder="1" applyAlignment="1">
      <alignment horizontal="center" vertical="center" shrinkToFit="1"/>
    </xf>
    <xf numFmtId="177" fontId="8" fillId="2" borderId="19" xfId="1" applyNumberFormat="1" applyFont="1" applyFill="1" applyBorder="1" applyAlignment="1">
      <alignment horizontal="center" vertical="center"/>
    </xf>
    <xf numFmtId="0" fontId="15" fillId="2" borderId="15" xfId="1" applyFont="1" applyFill="1" applyBorder="1" applyAlignment="1">
      <alignment horizontal="center" vertical="center"/>
    </xf>
    <xf numFmtId="0" fontId="15" fillId="2" borderId="16" xfId="1" applyFont="1" applyFill="1" applyBorder="1" applyAlignment="1">
      <alignment horizontal="center" vertical="center"/>
    </xf>
    <xf numFmtId="0" fontId="15" fillId="2" borderId="25" xfId="1" applyFont="1" applyFill="1" applyBorder="1" applyAlignment="1">
      <alignment horizontal="center" vertical="center"/>
    </xf>
    <xf numFmtId="0" fontId="15" fillId="2" borderId="23" xfId="1" applyFont="1" applyFill="1" applyBorder="1" applyAlignment="1">
      <alignment horizontal="center" vertical="center"/>
    </xf>
    <xf numFmtId="0" fontId="8" fillId="2" borderId="37" xfId="1" applyFont="1" applyFill="1" applyBorder="1" applyAlignment="1" applyProtection="1">
      <alignment horizontal="center" vertical="center"/>
      <protection locked="0"/>
    </xf>
    <xf numFmtId="0" fontId="8" fillId="2" borderId="38" xfId="1" applyFont="1" applyFill="1" applyBorder="1" applyAlignment="1" applyProtection="1">
      <alignment horizontal="center" vertical="center"/>
      <protection locked="0"/>
    </xf>
    <xf numFmtId="0" fontId="12" fillId="6" borderId="25" xfId="2" applyFont="1" applyFill="1" applyBorder="1" applyAlignment="1">
      <alignment horizontal="center" vertical="center"/>
    </xf>
    <xf numFmtId="0" fontId="12" fillId="6" borderId="26" xfId="2" applyFont="1" applyFill="1" applyBorder="1" applyAlignment="1">
      <alignment horizontal="center" vertical="center"/>
    </xf>
    <xf numFmtId="0" fontId="12" fillId="6" borderId="15" xfId="2" applyFont="1" applyFill="1" applyBorder="1" applyAlignment="1">
      <alignment horizontal="center" vertical="center"/>
    </xf>
    <xf numFmtId="0" fontId="12" fillId="6" borderId="17" xfId="2" applyFont="1" applyFill="1" applyBorder="1" applyAlignment="1">
      <alignment horizontal="center" vertical="center"/>
    </xf>
    <xf numFmtId="0" fontId="8" fillId="2" borderId="19" xfId="1" applyFont="1" applyFill="1" applyBorder="1" applyAlignment="1" applyProtection="1">
      <alignment horizontal="center" vertical="center"/>
      <protection locked="0"/>
    </xf>
    <xf numFmtId="0" fontId="8" fillId="2" borderId="35" xfId="1" applyFont="1" applyFill="1" applyBorder="1" applyAlignment="1" applyProtection="1">
      <alignment horizontal="center" vertical="center"/>
      <protection locked="0"/>
    </xf>
    <xf numFmtId="0" fontId="14" fillId="2" borderId="1" xfId="1" applyFont="1" applyFill="1" applyBorder="1" applyAlignment="1">
      <alignment horizontal="center" vertical="center" textRotation="90"/>
    </xf>
    <xf numFmtId="0" fontId="14" fillId="2" borderId="2" xfId="1" applyFont="1" applyFill="1" applyBorder="1" applyAlignment="1">
      <alignment horizontal="center" vertical="center" textRotation="90"/>
    </xf>
    <xf numFmtId="0" fontId="14" fillId="2" borderId="27" xfId="1" applyFont="1" applyFill="1" applyBorder="1" applyAlignment="1">
      <alignment horizontal="center" vertical="center" textRotation="90"/>
    </xf>
    <xf numFmtId="0" fontId="14" fillId="2" borderId="8" xfId="1" applyFont="1" applyFill="1" applyBorder="1" applyAlignment="1">
      <alignment horizontal="center" vertical="center" textRotation="90"/>
    </xf>
    <xf numFmtId="0" fontId="14" fillId="2" borderId="0" xfId="1" applyFont="1" applyFill="1" applyAlignment="1">
      <alignment horizontal="center" vertical="center" textRotation="90"/>
    </xf>
    <xf numFmtId="0" fontId="14" fillId="2" borderId="31" xfId="1" applyFont="1" applyFill="1" applyBorder="1" applyAlignment="1">
      <alignment horizontal="center" vertical="center" textRotation="90"/>
    </xf>
    <xf numFmtId="0" fontId="14" fillId="2" borderId="20" xfId="1" applyFont="1" applyFill="1" applyBorder="1" applyAlignment="1">
      <alignment horizontal="center" vertical="center" textRotation="90"/>
    </xf>
    <xf numFmtId="0" fontId="14" fillId="2" borderId="21" xfId="1" applyFont="1" applyFill="1" applyBorder="1" applyAlignment="1">
      <alignment horizontal="center" vertical="center" textRotation="90"/>
    </xf>
    <xf numFmtId="0" fontId="14" fillId="2" borderId="36" xfId="1" applyFont="1" applyFill="1" applyBorder="1" applyAlignment="1">
      <alignment horizontal="center" vertical="center" textRotation="90"/>
    </xf>
    <xf numFmtId="0" fontId="15" fillId="2" borderId="12" xfId="1" applyFont="1" applyFill="1" applyBorder="1" applyAlignment="1">
      <alignment horizontal="center" vertical="center"/>
    </xf>
    <xf numFmtId="0" fontId="15" fillId="2" borderId="28" xfId="1" applyFont="1" applyFill="1" applyBorder="1" applyAlignment="1">
      <alignment horizontal="center" vertical="center"/>
    </xf>
    <xf numFmtId="0" fontId="8" fillId="2" borderId="28" xfId="1" applyFont="1" applyFill="1" applyBorder="1" applyAlignment="1">
      <alignment horizontal="left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13" xfId="1" applyFont="1" applyFill="1" applyBorder="1" applyAlignment="1" applyProtection="1">
      <alignment horizontal="center" vertical="center"/>
      <protection locked="0"/>
    </xf>
    <xf numFmtId="0" fontId="8" fillId="2" borderId="14" xfId="1" applyFont="1" applyFill="1" applyBorder="1" applyAlignment="1" applyProtection="1">
      <alignment horizontal="center" vertical="center"/>
      <protection locked="0"/>
    </xf>
    <xf numFmtId="0" fontId="17" fillId="2" borderId="0" xfId="0" applyFont="1" applyFill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177" fontId="8" fillId="2" borderId="35" xfId="1" applyNumberFormat="1" applyFont="1" applyFill="1" applyBorder="1" applyAlignment="1">
      <alignment horizontal="center" vertical="center"/>
    </xf>
    <xf numFmtId="0" fontId="8" fillId="2" borderId="32" xfId="1" applyFont="1" applyFill="1" applyBorder="1" applyAlignment="1">
      <alignment horizontal="center" vertical="center"/>
    </xf>
    <xf numFmtId="0" fontId="8" fillId="2" borderId="33" xfId="1" applyFont="1" applyFill="1" applyBorder="1" applyAlignment="1">
      <alignment horizontal="center" vertical="center"/>
    </xf>
    <xf numFmtId="0" fontId="8" fillId="2" borderId="34" xfId="1" applyFont="1" applyFill="1" applyBorder="1" applyAlignment="1">
      <alignment horizontal="center" vertical="center"/>
    </xf>
    <xf numFmtId="0" fontId="11" fillId="4" borderId="15" xfId="2" applyFont="1" applyFill="1" applyBorder="1" applyAlignment="1">
      <alignment horizontal="center" vertical="center"/>
    </xf>
    <xf numFmtId="0" fontId="11" fillId="4" borderId="17" xfId="2" applyFont="1" applyFill="1" applyBorder="1" applyAlignment="1">
      <alignment horizontal="center" vertical="center"/>
    </xf>
    <xf numFmtId="0" fontId="11" fillId="4" borderId="12" xfId="2" applyFont="1" applyFill="1" applyBorder="1" applyAlignment="1">
      <alignment horizontal="center" vertical="center"/>
    </xf>
    <xf numFmtId="0" fontId="11" fillId="4" borderId="14" xfId="2" applyFont="1" applyFill="1" applyBorder="1" applyAlignment="1">
      <alignment horizontal="center" vertical="center"/>
    </xf>
    <xf numFmtId="0" fontId="8" fillId="2" borderId="29" xfId="1" applyFont="1" applyFill="1" applyBorder="1" applyAlignment="1" applyProtection="1">
      <alignment horizontal="center" vertical="center"/>
      <protection locked="0"/>
    </xf>
    <xf numFmtId="0" fontId="8" fillId="2" borderId="30" xfId="1" applyFont="1" applyFill="1" applyBorder="1" applyAlignment="1" applyProtection="1">
      <alignment horizontal="center" vertical="center"/>
      <protection locked="0"/>
    </xf>
    <xf numFmtId="0" fontId="18" fillId="2" borderId="8" xfId="1" applyFont="1" applyFill="1" applyBorder="1" applyAlignment="1">
      <alignment horizontal="center" vertical="center" wrapText="1"/>
    </xf>
    <xf numFmtId="0" fontId="18" fillId="2" borderId="0" xfId="1" applyFont="1" applyFill="1" applyAlignment="1">
      <alignment horizontal="center" vertical="center" wrapText="1"/>
    </xf>
    <xf numFmtId="0" fontId="18" fillId="2" borderId="31" xfId="1" applyFont="1" applyFill="1" applyBorder="1" applyAlignment="1">
      <alignment horizontal="center" vertical="center" wrapText="1"/>
    </xf>
    <xf numFmtId="0" fontId="18" fillId="2" borderId="20" xfId="1" applyFont="1" applyFill="1" applyBorder="1" applyAlignment="1">
      <alignment horizontal="center" vertical="center" wrapText="1"/>
    </xf>
    <xf numFmtId="0" fontId="18" fillId="2" borderId="21" xfId="1" applyFont="1" applyFill="1" applyBorder="1" applyAlignment="1">
      <alignment horizontal="center" vertical="center" wrapText="1"/>
    </xf>
    <xf numFmtId="0" fontId="18" fillId="2" borderId="36" xfId="1" applyFont="1" applyFill="1" applyBorder="1" applyAlignment="1">
      <alignment horizontal="center" vertical="center" wrapText="1"/>
    </xf>
    <xf numFmtId="0" fontId="15" fillId="2" borderId="39" xfId="1" applyFont="1" applyFill="1" applyBorder="1" applyAlignment="1">
      <alignment horizontal="center" vertical="center"/>
    </xf>
    <xf numFmtId="0" fontId="15" fillId="2" borderId="10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left" vertical="center"/>
    </xf>
    <xf numFmtId="0" fontId="8" fillId="2" borderId="11" xfId="1" applyFont="1" applyFill="1" applyBorder="1" applyAlignment="1">
      <alignment horizontal="left" vertical="center"/>
    </xf>
    <xf numFmtId="0" fontId="11" fillId="4" borderId="25" xfId="2" applyFont="1" applyFill="1" applyBorder="1" applyAlignment="1">
      <alignment horizontal="center" vertical="center"/>
    </xf>
    <xf numFmtId="0" fontId="11" fillId="4" borderId="26" xfId="2" applyFont="1" applyFill="1" applyBorder="1" applyAlignment="1">
      <alignment horizontal="center" vertical="center"/>
    </xf>
    <xf numFmtId="0" fontId="11" fillId="2" borderId="15" xfId="2" applyFont="1" applyFill="1" applyBorder="1" applyAlignment="1">
      <alignment horizontal="center" vertical="center"/>
    </xf>
    <xf numFmtId="0" fontId="11" fillId="2" borderId="17" xfId="2" applyFont="1" applyFill="1" applyBorder="1" applyAlignment="1">
      <alignment horizontal="center" vertical="center"/>
    </xf>
    <xf numFmtId="0" fontId="11" fillId="2" borderId="12" xfId="2" applyFont="1" applyFill="1" applyBorder="1" applyAlignment="1">
      <alignment horizontal="center" vertical="center"/>
    </xf>
    <xf numFmtId="0" fontId="11" fillId="2" borderId="14" xfId="2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 shrinkToFit="1"/>
    </xf>
    <xf numFmtId="0" fontId="19" fillId="2" borderId="8" xfId="1" applyFont="1" applyFill="1" applyBorder="1" applyAlignment="1">
      <alignment horizontal="center" vertical="center" textRotation="90" wrapText="1"/>
    </xf>
    <xf numFmtId="0" fontId="19" fillId="2" borderId="0" xfId="1" applyFont="1" applyFill="1" applyAlignment="1">
      <alignment horizontal="center" vertical="center" textRotation="90" wrapText="1"/>
    </xf>
    <xf numFmtId="0" fontId="19" fillId="2" borderId="31" xfId="1" applyFont="1" applyFill="1" applyBorder="1" applyAlignment="1">
      <alignment horizontal="center" vertical="center" textRotation="90" wrapText="1"/>
    </xf>
    <xf numFmtId="0" fontId="19" fillId="2" borderId="20" xfId="1" applyFont="1" applyFill="1" applyBorder="1" applyAlignment="1">
      <alignment horizontal="center" vertical="center" textRotation="90" wrapText="1"/>
    </xf>
    <xf numFmtId="0" fontId="19" fillId="2" borderId="21" xfId="1" applyFont="1" applyFill="1" applyBorder="1" applyAlignment="1">
      <alignment horizontal="center" vertical="center" textRotation="90" wrapText="1"/>
    </xf>
    <xf numFmtId="0" fontId="19" fillId="2" borderId="36" xfId="1" applyFont="1" applyFill="1" applyBorder="1" applyAlignment="1">
      <alignment horizontal="center" vertical="center" textRotation="90" wrapText="1"/>
    </xf>
    <xf numFmtId="0" fontId="11" fillId="2" borderId="25" xfId="2" applyFont="1" applyFill="1" applyBorder="1" applyAlignment="1">
      <alignment horizontal="center" vertical="center"/>
    </xf>
    <xf numFmtId="0" fontId="11" fillId="2" borderId="26" xfId="2" applyFont="1" applyFill="1" applyBorder="1" applyAlignment="1">
      <alignment horizontal="center" vertical="center"/>
    </xf>
    <xf numFmtId="0" fontId="15" fillId="2" borderId="12" xfId="1" applyFont="1" applyFill="1" applyBorder="1" applyAlignment="1">
      <alignment horizontal="center" vertical="center" shrinkToFit="1"/>
    </xf>
    <xf numFmtId="0" fontId="15" fillId="2" borderId="28" xfId="1" applyFont="1" applyFill="1" applyBorder="1" applyAlignment="1">
      <alignment horizontal="center" vertical="center" shrinkToFit="1"/>
    </xf>
    <xf numFmtId="0" fontId="21" fillId="2" borderId="13" xfId="3" applyFont="1" applyFill="1" applyBorder="1" applyAlignment="1">
      <alignment horizontal="left" vertical="center"/>
    </xf>
    <xf numFmtId="0" fontId="21" fillId="2" borderId="28" xfId="3" applyFont="1" applyFill="1" applyBorder="1" applyAlignment="1">
      <alignment horizontal="left" vertical="center"/>
    </xf>
    <xf numFmtId="0" fontId="21" fillId="2" borderId="12" xfId="3" applyFont="1" applyFill="1" applyBorder="1" applyAlignment="1">
      <alignment horizontal="center" vertical="center"/>
    </xf>
    <xf numFmtId="0" fontId="21" fillId="2" borderId="13" xfId="3" applyFont="1" applyFill="1" applyBorder="1" applyAlignment="1">
      <alignment horizontal="center" vertical="center"/>
    </xf>
    <xf numFmtId="0" fontId="21" fillId="2" borderId="28" xfId="3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right" vertical="center" indent="4"/>
    </xf>
    <xf numFmtId="0" fontId="8" fillId="2" borderId="13" xfId="1" applyFont="1" applyFill="1" applyBorder="1" applyAlignment="1">
      <alignment horizontal="right" vertical="center" indent="4"/>
    </xf>
    <xf numFmtId="0" fontId="8" fillId="2" borderId="14" xfId="1" applyFont="1" applyFill="1" applyBorder="1" applyAlignment="1">
      <alignment horizontal="right" vertical="center" indent="4"/>
    </xf>
    <xf numFmtId="0" fontId="15" fillId="2" borderId="24" xfId="1" applyFont="1" applyFill="1" applyBorder="1" applyAlignment="1">
      <alignment horizontal="center" vertical="center"/>
    </xf>
    <xf numFmtId="0" fontId="15" fillId="2" borderId="25" xfId="1" applyFont="1" applyFill="1" applyBorder="1" applyAlignment="1">
      <alignment horizontal="center" vertical="center" shrinkToFit="1"/>
    </xf>
    <xf numFmtId="0" fontId="15" fillId="2" borderId="24" xfId="1" applyFont="1" applyFill="1" applyBorder="1" applyAlignment="1">
      <alignment horizontal="center" vertical="center" shrinkToFit="1"/>
    </xf>
    <xf numFmtId="0" fontId="8" fillId="2" borderId="37" xfId="1" applyFont="1" applyFill="1" applyBorder="1" applyAlignment="1">
      <alignment horizontal="center" vertical="center"/>
    </xf>
    <xf numFmtId="0" fontId="8" fillId="2" borderId="38" xfId="1" applyFont="1" applyFill="1" applyBorder="1" applyAlignment="1">
      <alignment horizontal="center" vertical="center"/>
    </xf>
    <xf numFmtId="0" fontId="21" fillId="2" borderId="23" xfId="3" applyFont="1" applyFill="1" applyBorder="1" applyAlignment="1">
      <alignment horizontal="left" vertical="center"/>
    </xf>
    <xf numFmtId="0" fontId="21" fillId="2" borderId="24" xfId="3" applyFont="1" applyFill="1" applyBorder="1" applyAlignment="1">
      <alignment horizontal="left" vertical="center"/>
    </xf>
    <xf numFmtId="0" fontId="21" fillId="2" borderId="37" xfId="3" applyFont="1" applyFill="1" applyBorder="1" applyAlignment="1">
      <alignment horizontal="center" vertical="center"/>
    </xf>
    <xf numFmtId="0" fontId="21" fillId="2" borderId="38" xfId="3" applyFont="1" applyFill="1" applyBorder="1" applyAlignment="1">
      <alignment horizontal="center" vertical="center"/>
    </xf>
    <xf numFmtId="0" fontId="15" fillId="2" borderId="41" xfId="1" applyFont="1" applyFill="1" applyBorder="1" applyAlignment="1">
      <alignment horizontal="center" vertical="center"/>
    </xf>
    <xf numFmtId="0" fontId="15" fillId="2" borderId="42" xfId="1" applyFont="1" applyFill="1" applyBorder="1" applyAlignment="1">
      <alignment horizontal="center" vertical="center"/>
    </xf>
    <xf numFmtId="0" fontId="14" fillId="2" borderId="8" xfId="1" applyFont="1" applyFill="1" applyBorder="1" applyAlignment="1">
      <alignment horizontal="center" vertical="center" textRotation="90" wrapText="1"/>
    </xf>
    <xf numFmtId="0" fontId="8" fillId="2" borderId="13" xfId="1" applyFont="1" applyFill="1" applyBorder="1" applyAlignment="1">
      <alignment horizontal="center" vertical="center"/>
    </xf>
    <xf numFmtId="0" fontId="8" fillId="2" borderId="28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4" xfId="1" applyFont="1" applyFill="1" applyBorder="1" applyAlignment="1">
      <alignment horizontal="center" vertical="center"/>
    </xf>
    <xf numFmtId="0" fontId="8" fillId="2" borderId="24" xfId="1" applyFont="1" applyFill="1" applyBorder="1" applyAlignment="1">
      <alignment horizontal="center" vertical="center"/>
    </xf>
    <xf numFmtId="0" fontId="8" fillId="2" borderId="8" xfId="1" applyFont="1" applyFill="1" applyBorder="1" applyAlignment="1">
      <alignment horizontal="center" vertical="center" wrapText="1"/>
    </xf>
    <xf numFmtId="0" fontId="8" fillId="2" borderId="0" xfId="1" applyFont="1" applyFill="1" applyAlignment="1">
      <alignment horizontal="center" vertical="center" wrapText="1"/>
    </xf>
    <xf numFmtId="0" fontId="8" fillId="2" borderId="31" xfId="1" applyFont="1" applyFill="1" applyBorder="1" applyAlignment="1">
      <alignment horizontal="center" vertical="center" wrapText="1"/>
    </xf>
    <xf numFmtId="0" fontId="8" fillId="2" borderId="20" xfId="1" applyFont="1" applyFill="1" applyBorder="1" applyAlignment="1">
      <alignment horizontal="center" vertical="center" wrapText="1"/>
    </xf>
    <xf numFmtId="0" fontId="8" fillId="2" borderId="21" xfId="1" applyFont="1" applyFill="1" applyBorder="1" applyAlignment="1">
      <alignment horizontal="center" vertical="center" wrapText="1"/>
    </xf>
    <xf numFmtId="0" fontId="8" fillId="2" borderId="36" xfId="1" applyFont="1" applyFill="1" applyBorder="1" applyAlignment="1">
      <alignment horizontal="center" vertical="center" wrapText="1"/>
    </xf>
    <xf numFmtId="177" fontId="8" fillId="2" borderId="29" xfId="1" applyNumberFormat="1" applyFont="1" applyFill="1" applyBorder="1" applyAlignment="1" applyProtection="1">
      <alignment horizontal="center" vertical="center"/>
      <protection locked="0"/>
    </xf>
    <xf numFmtId="177" fontId="8" fillId="2" borderId="30" xfId="1" applyNumberFormat="1" applyFont="1" applyFill="1" applyBorder="1" applyAlignment="1" applyProtection="1">
      <alignment horizontal="center" vertical="center"/>
      <protection locked="0"/>
    </xf>
    <xf numFmtId="177" fontId="11" fillId="2" borderId="12" xfId="2" applyNumberFormat="1" applyFont="1" applyFill="1" applyBorder="1" applyAlignment="1">
      <alignment horizontal="center" vertical="center"/>
    </xf>
    <xf numFmtId="177" fontId="11" fillId="2" borderId="14" xfId="2" applyNumberFormat="1" applyFont="1" applyFill="1" applyBorder="1" applyAlignment="1">
      <alignment horizontal="center" vertical="center"/>
    </xf>
    <xf numFmtId="0" fontId="21" fillId="2" borderId="16" xfId="3" applyFont="1" applyFill="1" applyBorder="1" applyAlignment="1">
      <alignment horizontal="left" vertical="center"/>
    </xf>
    <xf numFmtId="0" fontId="21" fillId="2" borderId="18" xfId="3" applyFont="1" applyFill="1" applyBorder="1" applyAlignment="1">
      <alignment horizontal="left" vertical="center"/>
    </xf>
    <xf numFmtId="0" fontId="21" fillId="2" borderId="15" xfId="3" applyFont="1" applyFill="1" applyBorder="1" applyAlignment="1">
      <alignment horizontal="center" vertical="center"/>
    </xf>
    <xf numFmtId="0" fontId="21" fillId="2" borderId="16" xfId="3" applyFont="1" applyFill="1" applyBorder="1" applyAlignment="1">
      <alignment horizontal="center" vertical="center"/>
    </xf>
    <xf numFmtId="0" fontId="21" fillId="2" borderId="18" xfId="3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right" vertical="center" indent="4"/>
    </xf>
    <xf numFmtId="0" fontId="8" fillId="2" borderId="35" xfId="1" applyFont="1" applyFill="1" applyBorder="1" applyAlignment="1">
      <alignment horizontal="right" vertical="center" indent="4"/>
    </xf>
    <xf numFmtId="0" fontId="21" fillId="2" borderId="42" xfId="3" applyFont="1" applyFill="1" applyBorder="1" applyAlignment="1">
      <alignment horizontal="left" vertical="center"/>
    </xf>
    <xf numFmtId="0" fontId="21" fillId="2" borderId="43" xfId="3" applyFont="1" applyFill="1" applyBorder="1" applyAlignment="1">
      <alignment horizontal="left" vertical="center"/>
    </xf>
    <xf numFmtId="0" fontId="21" fillId="2" borderId="10" xfId="3" applyFont="1" applyFill="1" applyBorder="1" applyAlignment="1">
      <alignment horizontal="left" vertical="center"/>
    </xf>
    <xf numFmtId="0" fontId="21" fillId="2" borderId="11" xfId="3" applyFont="1" applyFill="1" applyBorder="1" applyAlignment="1">
      <alignment horizontal="left" vertical="center"/>
    </xf>
    <xf numFmtId="0" fontId="14" fillId="2" borderId="0" xfId="1" applyFont="1" applyFill="1" applyAlignment="1">
      <alignment horizontal="center" vertical="center" textRotation="90" wrapText="1"/>
    </xf>
    <xf numFmtId="0" fontId="14" fillId="2" borderId="31" xfId="1" applyFont="1" applyFill="1" applyBorder="1" applyAlignment="1">
      <alignment horizontal="center" vertical="center" textRotation="90" wrapText="1"/>
    </xf>
    <xf numFmtId="0" fontId="8" fillId="2" borderId="44" xfId="1" applyFont="1" applyFill="1" applyBorder="1" applyAlignment="1">
      <alignment horizontal="center" vertical="center"/>
    </xf>
    <xf numFmtId="0" fontId="21" fillId="2" borderId="44" xfId="3" applyFont="1" applyFill="1" applyBorder="1" applyAlignment="1">
      <alignment horizontal="center" vertical="center"/>
    </xf>
    <xf numFmtId="0" fontId="21" fillId="2" borderId="45" xfId="3" applyFont="1" applyFill="1" applyBorder="1" applyAlignment="1">
      <alignment horizontal="center" vertical="center"/>
    </xf>
    <xf numFmtId="0" fontId="8" fillId="2" borderId="42" xfId="1" applyFont="1" applyFill="1" applyBorder="1" applyAlignment="1">
      <alignment horizontal="left" vertical="center"/>
    </xf>
    <xf numFmtId="0" fontId="8" fillId="2" borderId="43" xfId="1" applyFont="1" applyFill="1" applyBorder="1" applyAlignment="1">
      <alignment horizontal="left" vertical="center"/>
    </xf>
    <xf numFmtId="0" fontId="8" fillId="2" borderId="46" xfId="1" applyFont="1" applyFill="1" applyBorder="1" applyAlignment="1">
      <alignment horizontal="center" vertical="center"/>
    </xf>
    <xf numFmtId="0" fontId="8" fillId="2" borderId="47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left" vertical="center"/>
    </xf>
    <xf numFmtId="0" fontId="8" fillId="2" borderId="27" xfId="1" applyFont="1" applyFill="1" applyBorder="1" applyAlignment="1">
      <alignment horizontal="left" vertical="center"/>
    </xf>
    <xf numFmtId="0" fontId="8" fillId="2" borderId="29" xfId="4" applyFont="1" applyFill="1" applyBorder="1" applyAlignment="1" applyProtection="1">
      <alignment horizontal="center" vertical="center"/>
      <protection locked="0"/>
    </xf>
    <xf numFmtId="0" fontId="8" fillId="2" borderId="30" xfId="4" applyFont="1" applyFill="1" applyBorder="1" applyAlignment="1" applyProtection="1">
      <alignment horizontal="center" vertical="center"/>
      <protection locked="0"/>
    </xf>
    <xf numFmtId="0" fontId="14" fillId="2" borderId="1" xfId="1" applyFont="1" applyFill="1" applyBorder="1" applyAlignment="1">
      <alignment horizontal="center" vertical="center" textRotation="90" wrapText="1"/>
    </xf>
    <xf numFmtId="0" fontId="14" fillId="2" borderId="2" xfId="1" applyFont="1" applyFill="1" applyBorder="1" applyAlignment="1">
      <alignment horizontal="center" vertical="center" textRotation="90" wrapText="1"/>
    </xf>
    <xf numFmtId="0" fontId="14" fillId="2" borderId="27" xfId="1" applyFont="1" applyFill="1" applyBorder="1" applyAlignment="1">
      <alignment horizontal="center" vertical="center" textRotation="90" wrapText="1"/>
    </xf>
    <xf numFmtId="0" fontId="14" fillId="2" borderId="20" xfId="1" applyFont="1" applyFill="1" applyBorder="1" applyAlignment="1">
      <alignment horizontal="center" vertical="center" textRotation="90" wrapText="1"/>
    </xf>
    <xf numFmtId="0" fontId="14" fillId="2" borderId="21" xfId="1" applyFont="1" applyFill="1" applyBorder="1" applyAlignment="1">
      <alignment horizontal="center" vertical="center" textRotation="90" wrapText="1"/>
    </xf>
    <xf numFmtId="0" fontId="14" fillId="2" borderId="36" xfId="1" applyFont="1" applyFill="1" applyBorder="1" applyAlignment="1">
      <alignment horizontal="center" vertical="center" textRotation="90" wrapText="1"/>
    </xf>
    <xf numFmtId="0" fontId="15" fillId="2" borderId="13" xfId="1" applyFont="1" applyFill="1" applyBorder="1" applyAlignment="1">
      <alignment horizontal="center" vertical="center"/>
    </xf>
    <xf numFmtId="0" fontId="8" fillId="2" borderId="15" xfId="4" applyFont="1" applyFill="1" applyBorder="1" applyAlignment="1" applyProtection="1">
      <alignment horizontal="center" vertical="center"/>
      <protection locked="0"/>
    </xf>
    <xf numFmtId="0" fontId="8" fillId="2" borderId="16" xfId="4" applyFont="1" applyFill="1" applyBorder="1" applyAlignment="1" applyProtection="1">
      <alignment horizontal="center" vertical="center"/>
      <protection locked="0"/>
    </xf>
    <xf numFmtId="0" fontId="8" fillId="2" borderId="17" xfId="4" applyFont="1" applyFill="1" applyBorder="1" applyAlignment="1" applyProtection="1">
      <alignment horizontal="center" vertical="center"/>
      <protection locked="0"/>
    </xf>
    <xf numFmtId="0" fontId="23" fillId="2" borderId="8" xfId="1" applyFont="1" applyFill="1" applyBorder="1" applyAlignment="1">
      <alignment horizontal="center" vertical="center" wrapText="1"/>
    </xf>
    <xf numFmtId="0" fontId="23" fillId="2" borderId="0" xfId="1" applyFont="1" applyFill="1" applyAlignment="1">
      <alignment horizontal="center" vertical="center" wrapText="1"/>
    </xf>
    <xf numFmtId="0" fontId="23" fillId="2" borderId="31" xfId="1" applyFont="1" applyFill="1" applyBorder="1" applyAlignment="1">
      <alignment horizontal="center" vertical="center" wrapText="1"/>
    </xf>
    <xf numFmtId="0" fontId="23" fillId="2" borderId="20" xfId="1" applyFont="1" applyFill="1" applyBorder="1" applyAlignment="1">
      <alignment horizontal="center" vertical="center" wrapText="1"/>
    </xf>
    <xf numFmtId="0" fontId="23" fillId="2" borderId="21" xfId="1" applyFont="1" applyFill="1" applyBorder="1" applyAlignment="1">
      <alignment horizontal="center" vertical="center" wrapText="1"/>
    </xf>
    <xf numFmtId="0" fontId="23" fillId="2" borderId="36" xfId="1" applyFont="1" applyFill="1" applyBorder="1" applyAlignment="1">
      <alignment horizontal="center" vertical="center" wrapText="1"/>
    </xf>
    <xf numFmtId="49" fontId="8" fillId="2" borderId="16" xfId="4" applyNumberFormat="1" applyFont="1" applyFill="1" applyBorder="1" applyAlignment="1" applyProtection="1">
      <alignment vertical="center"/>
      <protection locked="0"/>
    </xf>
    <xf numFmtId="49" fontId="8" fillId="2" borderId="18" xfId="4" applyNumberFormat="1" applyFont="1" applyFill="1" applyBorder="1" applyAlignment="1" applyProtection="1">
      <alignment vertical="center"/>
      <protection locked="0"/>
    </xf>
    <xf numFmtId="0" fontId="8" fillId="2" borderId="19" xfId="4" applyFont="1" applyFill="1" applyBorder="1" applyAlignment="1" applyProtection="1">
      <alignment horizontal="center" vertical="center"/>
      <protection locked="0"/>
    </xf>
    <xf numFmtId="49" fontId="8" fillId="2" borderId="19" xfId="4" applyNumberFormat="1" applyFont="1" applyFill="1" applyBorder="1" applyAlignment="1" applyProtection="1">
      <alignment horizontal="center" vertical="center"/>
      <protection locked="0"/>
    </xf>
    <xf numFmtId="49" fontId="8" fillId="2" borderId="35" xfId="4" applyNumberFormat="1" applyFont="1" applyFill="1" applyBorder="1" applyAlignment="1" applyProtection="1">
      <alignment horizontal="center" vertical="center"/>
      <protection locked="0"/>
    </xf>
    <xf numFmtId="177" fontId="8" fillId="2" borderId="29" xfId="1" quotePrefix="1" applyNumberFormat="1" applyFont="1" applyFill="1" applyBorder="1" applyAlignment="1">
      <alignment horizontal="center" vertical="center"/>
    </xf>
    <xf numFmtId="177" fontId="8" fillId="2" borderId="29" xfId="1" applyNumberFormat="1" applyFont="1" applyFill="1" applyBorder="1" applyAlignment="1">
      <alignment horizontal="center" vertical="center"/>
    </xf>
    <xf numFmtId="177" fontId="8" fillId="2" borderId="30" xfId="1" applyNumberFormat="1" applyFont="1" applyFill="1" applyBorder="1" applyAlignment="1">
      <alignment horizontal="center" vertical="center"/>
    </xf>
    <xf numFmtId="177" fontId="11" fillId="2" borderId="29" xfId="2" applyNumberFormat="1" applyFont="1" applyFill="1" applyBorder="1" applyAlignment="1">
      <alignment horizontal="center" vertical="center"/>
    </xf>
    <xf numFmtId="177" fontId="11" fillId="2" borderId="30" xfId="2" applyNumberFormat="1" applyFont="1" applyFill="1" applyBorder="1" applyAlignment="1">
      <alignment horizontal="center" vertical="center"/>
    </xf>
    <xf numFmtId="0" fontId="11" fillId="2" borderId="46" xfId="2" applyFont="1" applyFill="1" applyBorder="1" applyAlignment="1">
      <alignment horizontal="center" vertical="center"/>
    </xf>
    <xf numFmtId="0" fontId="11" fillId="2" borderId="47" xfId="2" applyFont="1" applyFill="1" applyBorder="1" applyAlignment="1">
      <alignment horizontal="center" vertical="center"/>
    </xf>
    <xf numFmtId="0" fontId="11" fillId="2" borderId="37" xfId="2" applyFont="1" applyFill="1" applyBorder="1" applyAlignment="1">
      <alignment horizontal="center" vertical="center"/>
    </xf>
    <xf numFmtId="0" fontId="11" fillId="2" borderId="38" xfId="2" applyFont="1" applyFill="1" applyBorder="1" applyAlignment="1">
      <alignment horizontal="center" vertical="center"/>
    </xf>
    <xf numFmtId="0" fontId="8" fillId="2" borderId="16" xfId="1" applyFont="1" applyFill="1" applyBorder="1" applyAlignment="1">
      <alignment vertical="center"/>
    </xf>
    <xf numFmtId="0" fontId="8" fillId="2" borderId="18" xfId="1" applyFont="1" applyFill="1" applyBorder="1" applyAlignment="1">
      <alignment vertical="center"/>
    </xf>
    <xf numFmtId="0" fontId="8" fillId="2" borderId="35" xfId="4" applyFont="1" applyFill="1" applyBorder="1" applyAlignment="1" applyProtection="1">
      <alignment horizontal="center" vertical="center"/>
      <protection locked="0"/>
    </xf>
    <xf numFmtId="0" fontId="8" fillId="2" borderId="0" xfId="1" applyFont="1" applyFill="1" applyAlignment="1">
      <alignment horizontal="left" vertical="center"/>
    </xf>
    <xf numFmtId="0" fontId="8" fillId="2" borderId="31" xfId="1" applyFont="1" applyFill="1" applyBorder="1" applyAlignment="1">
      <alignment horizontal="left" vertical="center"/>
    </xf>
    <xf numFmtId="0" fontId="8" fillId="2" borderId="16" xfId="1" applyFont="1" applyFill="1" applyBorder="1" applyAlignment="1" applyProtection="1">
      <alignment horizontal="left" vertical="center"/>
      <protection locked="0"/>
    </xf>
    <xf numFmtId="0" fontId="8" fillId="2" borderId="18" xfId="1" applyFont="1" applyFill="1" applyBorder="1" applyAlignment="1" applyProtection="1">
      <alignment horizontal="left" vertical="center"/>
      <protection locked="0"/>
    </xf>
    <xf numFmtId="49" fontId="8" fillId="2" borderId="16" xfId="4" applyNumberFormat="1" applyFont="1" applyFill="1" applyBorder="1" applyAlignment="1" applyProtection="1">
      <alignment horizontal="center" vertical="center"/>
      <protection locked="0"/>
    </xf>
    <xf numFmtId="49" fontId="8" fillId="2" borderId="17" xfId="4" applyNumberFormat="1" applyFont="1" applyFill="1" applyBorder="1" applyAlignment="1" applyProtection="1">
      <alignment horizontal="center" vertical="center"/>
      <protection locked="0"/>
    </xf>
    <xf numFmtId="0" fontId="8" fillId="2" borderId="29" xfId="1" applyFont="1" applyFill="1" applyBorder="1" applyAlignment="1">
      <alignment horizontal="center" vertical="center"/>
    </xf>
    <xf numFmtId="0" fontId="8" fillId="2" borderId="30" xfId="1" applyFont="1" applyFill="1" applyBorder="1" applyAlignment="1">
      <alignment horizontal="center" vertical="center"/>
    </xf>
    <xf numFmtId="1" fontId="8" fillId="2" borderId="19" xfId="4" applyNumberFormat="1" applyFont="1" applyFill="1" applyBorder="1" applyAlignment="1" applyProtection="1">
      <alignment horizontal="center" vertical="center"/>
      <protection locked="0"/>
    </xf>
    <xf numFmtId="1" fontId="8" fillId="2" borderId="35" xfId="4" applyNumberFormat="1" applyFont="1" applyFill="1" applyBorder="1" applyAlignment="1" applyProtection="1">
      <alignment horizontal="center" vertical="center"/>
      <protection locked="0"/>
    </xf>
    <xf numFmtId="0" fontId="8" fillId="2" borderId="1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2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27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8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0" xfId="4" applyFont="1" applyFill="1" applyAlignment="1" applyProtection="1">
      <alignment horizontal="center" vertical="center" textRotation="90" shrinkToFit="1"/>
      <protection locked="0"/>
    </xf>
    <xf numFmtId="0" fontId="8" fillId="2" borderId="31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20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21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36" xfId="4" applyFont="1" applyFill="1" applyBorder="1" applyAlignment="1" applyProtection="1">
      <alignment horizontal="center" vertical="center" textRotation="90" shrinkToFit="1"/>
      <protection locked="0"/>
    </xf>
    <xf numFmtId="0" fontId="8" fillId="2" borderId="0" xfId="4" applyFont="1" applyFill="1" applyAlignment="1" applyProtection="1">
      <alignment horizontal="left" vertical="center" wrapText="1"/>
      <protection locked="0"/>
    </xf>
    <xf numFmtId="0" fontId="8" fillId="2" borderId="31" xfId="4" applyFont="1" applyFill="1" applyBorder="1" applyAlignment="1" applyProtection="1">
      <alignment horizontal="left" vertical="center" wrapText="1"/>
      <protection locked="0"/>
    </xf>
    <xf numFmtId="0" fontId="8" fillId="2" borderId="10" xfId="4" applyFont="1" applyFill="1" applyBorder="1" applyAlignment="1" applyProtection="1">
      <alignment horizontal="left" vertical="center" wrapText="1"/>
      <protection locked="0"/>
    </xf>
    <xf numFmtId="0" fontId="8" fillId="2" borderId="11" xfId="4" applyFont="1" applyFill="1" applyBorder="1" applyAlignment="1" applyProtection="1">
      <alignment horizontal="left" vertical="center" wrapText="1"/>
      <protection locked="0"/>
    </xf>
    <xf numFmtId="49" fontId="24" fillId="2" borderId="19" xfId="4" applyNumberFormat="1" applyFont="1" applyFill="1" applyBorder="1" applyAlignment="1" applyProtection="1">
      <alignment horizontal="center" vertical="center"/>
      <protection locked="0"/>
    </xf>
    <xf numFmtId="49" fontId="8" fillId="2" borderId="37" xfId="4" applyNumberFormat="1" applyFont="1" applyFill="1" applyBorder="1" applyAlignment="1" applyProtection="1">
      <alignment horizontal="center" vertical="center"/>
      <protection locked="0"/>
    </xf>
    <xf numFmtId="49" fontId="8" fillId="2" borderId="38" xfId="4" applyNumberFormat="1" applyFont="1" applyFill="1" applyBorder="1" applyAlignment="1" applyProtection="1">
      <alignment horizontal="center" vertical="center"/>
      <protection locked="0"/>
    </xf>
    <xf numFmtId="0" fontId="8" fillId="2" borderId="21" xfId="1" applyFont="1" applyFill="1" applyBorder="1" applyAlignment="1">
      <alignment horizontal="left" vertical="center"/>
    </xf>
    <xf numFmtId="0" fontId="8" fillId="2" borderId="36" xfId="1" applyFont="1" applyFill="1" applyBorder="1" applyAlignment="1">
      <alignment horizontal="left" vertical="center"/>
    </xf>
    <xf numFmtId="0" fontId="8" fillId="2" borderId="49" xfId="1" applyFont="1" applyFill="1" applyBorder="1" applyAlignment="1">
      <alignment horizontal="center" vertical="center"/>
    </xf>
    <xf numFmtId="0" fontId="8" fillId="2" borderId="50" xfId="1" applyFont="1" applyFill="1" applyBorder="1" applyAlignment="1">
      <alignment horizontal="center" vertical="center"/>
    </xf>
    <xf numFmtId="0" fontId="8" fillId="2" borderId="45" xfId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49" fontId="8" fillId="2" borderId="25" xfId="5" applyNumberFormat="1" applyFont="1" applyFill="1" applyBorder="1" applyAlignment="1">
      <alignment horizontal="center" vertical="center"/>
    </xf>
    <xf numFmtId="49" fontId="8" fillId="2" borderId="23" xfId="5" applyNumberFormat="1" applyFont="1" applyFill="1" applyBorder="1" applyAlignment="1">
      <alignment horizontal="center" vertical="center"/>
    </xf>
    <xf numFmtId="49" fontId="8" fillId="2" borderId="24" xfId="5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 applyProtection="1">
      <alignment horizontal="center" vertical="center"/>
      <protection locked="0"/>
    </xf>
    <xf numFmtId="0" fontId="8" fillId="2" borderId="23" xfId="1" applyFont="1" applyFill="1" applyBorder="1" applyAlignment="1" applyProtection="1">
      <alignment horizontal="center" vertical="center"/>
      <protection locked="0"/>
    </xf>
    <xf numFmtId="0" fontId="8" fillId="2" borderId="24" xfId="1" applyFont="1" applyFill="1" applyBorder="1" applyAlignment="1" applyProtection="1">
      <alignment horizontal="center" vertical="center"/>
      <protection locked="0"/>
    </xf>
    <xf numFmtId="49" fontId="8" fillId="2" borderId="26" xfId="5" applyNumberFormat="1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14" fontId="8" fillId="2" borderId="15" xfId="5" applyNumberFormat="1" applyFont="1" applyFill="1" applyBorder="1" applyAlignment="1">
      <alignment horizontal="center" vertical="center"/>
    </xf>
    <xf numFmtId="14" fontId="8" fillId="2" borderId="16" xfId="5" applyNumberFormat="1" applyFont="1" applyFill="1" applyBorder="1" applyAlignment="1">
      <alignment horizontal="center" vertical="center"/>
    </xf>
    <xf numFmtId="14" fontId="8" fillId="2" borderId="18" xfId="5" applyNumberFormat="1" applyFont="1" applyFill="1" applyBorder="1" applyAlignment="1">
      <alignment horizontal="center" vertical="center"/>
    </xf>
    <xf numFmtId="49" fontId="8" fillId="2" borderId="15" xfId="5" applyNumberFormat="1" applyFont="1" applyFill="1" applyBorder="1" applyAlignment="1">
      <alignment horizontal="center" vertical="center"/>
    </xf>
    <xf numFmtId="49" fontId="8" fillId="2" borderId="16" xfId="5" applyNumberFormat="1" applyFont="1" applyFill="1" applyBorder="1" applyAlignment="1">
      <alignment horizontal="center" vertical="center"/>
    </xf>
    <xf numFmtId="49" fontId="8" fillId="2" borderId="18" xfId="5" applyNumberFormat="1" applyFont="1" applyFill="1" applyBorder="1" applyAlignment="1">
      <alignment horizontal="center" vertical="center"/>
    </xf>
    <xf numFmtId="0" fontId="8" fillId="2" borderId="15" xfId="1" applyFont="1" applyFill="1" applyBorder="1" applyAlignment="1" applyProtection="1">
      <alignment horizontal="center" vertical="center"/>
      <protection locked="0"/>
    </xf>
    <xf numFmtId="0" fontId="8" fillId="2" borderId="16" xfId="1" applyFont="1" applyFill="1" applyBorder="1" applyAlignment="1" applyProtection="1">
      <alignment horizontal="center" vertical="center"/>
      <protection locked="0"/>
    </xf>
    <xf numFmtId="0" fontId="8" fillId="2" borderId="18" xfId="1" applyFont="1" applyFill="1" applyBorder="1" applyAlignment="1" applyProtection="1">
      <alignment horizontal="center" vertical="center"/>
      <protection locked="0"/>
    </xf>
    <xf numFmtId="0" fontId="8" fillId="2" borderId="17" xfId="1" applyFont="1" applyFill="1" applyBorder="1" applyAlignment="1" applyProtection="1">
      <alignment horizontal="center" vertical="center"/>
      <protection locked="0"/>
    </xf>
    <xf numFmtId="0" fontId="14" fillId="2" borderId="8" xfId="1" applyFont="1" applyFill="1" applyBorder="1" applyAlignment="1" applyProtection="1">
      <alignment horizontal="center" vertical="center" textRotation="90"/>
      <protection locked="0"/>
    </xf>
    <xf numFmtId="0" fontId="14" fillId="2" borderId="0" xfId="1" applyFont="1" applyFill="1" applyAlignment="1" applyProtection="1">
      <alignment horizontal="center" vertical="center" textRotation="90"/>
      <protection locked="0"/>
    </xf>
    <xf numFmtId="0" fontId="14" fillId="2" borderId="31" xfId="1" applyFont="1" applyFill="1" applyBorder="1" applyAlignment="1" applyProtection="1">
      <alignment horizontal="center" vertical="center" textRotation="90"/>
      <protection locked="0"/>
    </xf>
    <xf numFmtId="0" fontId="14" fillId="2" borderId="20" xfId="1" applyFont="1" applyFill="1" applyBorder="1" applyAlignment="1" applyProtection="1">
      <alignment horizontal="center" vertical="center" textRotation="90"/>
      <protection locked="0"/>
    </xf>
    <xf numFmtId="0" fontId="14" fillId="2" borderId="21" xfId="1" applyFont="1" applyFill="1" applyBorder="1" applyAlignment="1" applyProtection="1">
      <alignment horizontal="center" vertical="center" textRotation="90"/>
      <protection locked="0"/>
    </xf>
    <xf numFmtId="0" fontId="14" fillId="2" borderId="36" xfId="1" applyFont="1" applyFill="1" applyBorder="1" applyAlignment="1" applyProtection="1">
      <alignment horizontal="center" vertical="center" textRotation="90"/>
      <protection locked="0"/>
    </xf>
    <xf numFmtId="49" fontId="8" fillId="2" borderId="52" xfId="5" applyNumberFormat="1" applyFont="1" applyFill="1" applyBorder="1" applyAlignment="1">
      <alignment horizontal="center" vertical="center"/>
    </xf>
    <xf numFmtId="49" fontId="8" fillId="2" borderId="13" xfId="5" applyNumberFormat="1" applyFont="1" applyFill="1" applyBorder="1" applyAlignment="1">
      <alignment horizontal="center" vertical="center"/>
    </xf>
    <xf numFmtId="49" fontId="8" fillId="2" borderId="28" xfId="5" applyNumberFormat="1" applyFont="1" applyFill="1" applyBorder="1" applyAlignment="1">
      <alignment horizontal="center" vertical="center"/>
    </xf>
    <xf numFmtId="0" fontId="8" fillId="2" borderId="28" xfId="1" applyFont="1" applyFill="1" applyBorder="1" applyAlignment="1" applyProtection="1">
      <alignment horizontal="center" vertical="center"/>
      <protection locked="0"/>
    </xf>
    <xf numFmtId="0" fontId="8" fillId="2" borderId="53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26" fillId="5" borderId="46" xfId="0" applyFont="1" applyFill="1" applyBorder="1" applyAlignment="1">
      <alignment horizontal="center" vertical="center"/>
    </xf>
    <xf numFmtId="0" fontId="26" fillId="5" borderId="56" xfId="0" applyFont="1" applyFill="1" applyBorder="1" applyAlignment="1">
      <alignment horizontal="center" vertical="center"/>
    </xf>
    <xf numFmtId="0" fontId="26" fillId="5" borderId="44" xfId="0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vertical="center" wrapText="1" shrinkToFit="1"/>
    </xf>
    <xf numFmtId="0" fontId="26" fillId="5" borderId="19" xfId="0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center" vertical="center" shrinkToFit="1"/>
    </xf>
    <xf numFmtId="0" fontId="46" fillId="0" borderId="10" xfId="0" applyFont="1" applyBorder="1" applyAlignment="1">
      <alignment horizontal="left" vertical="center"/>
    </xf>
    <xf numFmtId="0" fontId="26" fillId="5" borderId="15" xfId="0" applyFont="1" applyFill="1" applyBorder="1" applyAlignment="1">
      <alignment horizontal="center" vertical="center"/>
    </xf>
    <xf numFmtId="0" fontId="26" fillId="5" borderId="16" xfId="0" applyFont="1" applyFill="1" applyBorder="1" applyAlignment="1">
      <alignment horizontal="center" vertical="center"/>
    </xf>
    <xf numFmtId="0" fontId="26" fillId="5" borderId="18" xfId="0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/>
    </xf>
  </cellXfs>
  <cellStyles count="153">
    <cellStyle name="20% - 강조색1 2" xfId="7" xr:uid="{8EF5E2CB-FB31-4F32-A14F-19A2D2B318F2}"/>
    <cellStyle name="20% - 강조색2 2" xfId="8" xr:uid="{FCDE66B5-2C48-4617-937D-881CC5C085D9}"/>
    <cellStyle name="20% - 강조색3 2" xfId="9" xr:uid="{8D244AA5-F8C9-4F6B-BA0A-9A0866F1100A}"/>
    <cellStyle name="20% - 강조색4 2" xfId="10" xr:uid="{C07D0903-6B2B-425C-B228-05DD96481B55}"/>
    <cellStyle name="20% - 강조색5 2" xfId="11" xr:uid="{44C455FE-30F5-4992-9B1A-153E58A6DE1C}"/>
    <cellStyle name="20% - 강조색6 2" xfId="12" xr:uid="{F64819E3-7B1E-45B8-A6F0-6AF9269FE0E4}"/>
    <cellStyle name="40% - 강조색1 2" xfId="13" xr:uid="{8A0A3B7B-4727-46FA-9AEF-7FEACE141857}"/>
    <cellStyle name="40% - 강조색2 2" xfId="14" xr:uid="{DAA998DB-29E5-4A4F-8DED-726250C540E6}"/>
    <cellStyle name="40% - 강조색3 2" xfId="15" xr:uid="{EF0517B3-4BC2-403D-95EF-954A4B46BE5F}"/>
    <cellStyle name="40% - 강조색4 2" xfId="16" xr:uid="{CFE7612D-8F7D-40D2-9898-391E3A7BF444}"/>
    <cellStyle name="40% - 강조색5 2" xfId="17" xr:uid="{20FAE558-3A58-42A9-9229-F8BE041AC1C1}"/>
    <cellStyle name="40% - 강조색6 2" xfId="18" xr:uid="{E5274F8C-6730-4DDF-8CFC-4D3FA1867A22}"/>
    <cellStyle name="60% - 강조색1 2" xfId="19" xr:uid="{1D1024F9-F358-4DD9-B3E9-BB4FAE876CDE}"/>
    <cellStyle name="60% - 강조색2 2" xfId="20" xr:uid="{31B6374B-1536-4CE6-B236-271B1086CB4A}"/>
    <cellStyle name="60% - 강조색3 2" xfId="21" xr:uid="{FCA415DC-EAF8-478B-8494-44069256CC33}"/>
    <cellStyle name="60% - 강조색4 2" xfId="22" xr:uid="{0FE28D4A-8EDD-4797-9B9D-04EFD08B773E}"/>
    <cellStyle name="60% - 강조색5 2" xfId="23" xr:uid="{5A7D999F-FCE2-454A-BD57-79805660B834}"/>
    <cellStyle name="60% - 강조색6 2" xfId="24" xr:uid="{36005A4F-6529-4071-ABC0-24AAF4D62ABB}"/>
    <cellStyle name="Normal_24628-JV07 DS, Rev 00B" xfId="51" xr:uid="{6F77A5C3-6518-4C5C-A0B1-150D20818E01}"/>
    <cellStyle name="Normal_CONTROL VALVES" xfId="3" xr:uid="{B1522AD0-1B31-4229-873D-C12373E3570E}"/>
    <cellStyle name="강조색1 2" xfId="25" xr:uid="{0EB59B4C-D726-4A68-B753-C319A6691293}"/>
    <cellStyle name="강조색2 2" xfId="26" xr:uid="{03766018-5BEC-4D76-A924-B79EAAB98A09}"/>
    <cellStyle name="강조색3 2" xfId="27" xr:uid="{315C9C0A-6D6B-4C15-9E60-6145231026B8}"/>
    <cellStyle name="강조색4 2" xfId="28" xr:uid="{047F34B1-2C58-4E6F-B580-0D6762F165DE}"/>
    <cellStyle name="강조색5 2" xfId="29" xr:uid="{6EC6B483-EAA0-49F3-8BC2-860853701298}"/>
    <cellStyle name="강조색6 2" xfId="30" xr:uid="{371A4523-EF1C-455B-B30E-8F3C7B89E1FB}"/>
    <cellStyle name="경고문 2" xfId="31" xr:uid="{62ED274F-EAF2-4075-B64C-D59F5057F673}"/>
    <cellStyle name="계산 2" xfId="32" xr:uid="{3DD93E56-003F-439E-B393-FEB6BE6F5EA6}"/>
    <cellStyle name="계산 2 2" xfId="67" xr:uid="{47F95377-DB89-42A3-918D-CC3CE816E9C6}"/>
    <cellStyle name="계산 2 2 2" xfId="102" xr:uid="{32102E6E-78F9-4A3A-BCD9-00FECD8F8B51}"/>
    <cellStyle name="계산 2 2 3" xfId="119" xr:uid="{18579991-4901-48F2-8404-39103C728DBE}"/>
    <cellStyle name="계산 2 2 4" xfId="134" xr:uid="{3CCB7CFE-F84E-475A-8635-F3FF10DDC5A0}"/>
    <cellStyle name="계산 2 3" xfId="96" xr:uid="{79748D70-C871-4562-B262-49BF95DE04E1}"/>
    <cellStyle name="계산 2 4" xfId="97" xr:uid="{8E344EFB-EB4E-478A-B95D-A11AD5A39D03}"/>
    <cellStyle name="계산 3" xfId="52" xr:uid="{4BBF3B65-4EF5-4E79-AC69-40E70A98CAA4}"/>
    <cellStyle name="계산 3 2" xfId="72" xr:uid="{4E239549-F0B0-4345-AA9B-B9CEA66E9C92}"/>
    <cellStyle name="계산 3 2 2" xfId="108" xr:uid="{786F195A-DCAB-4A0A-9DC9-FA8FB69DEE09}"/>
    <cellStyle name="계산 3 2 3" xfId="124" xr:uid="{C1B3081B-205B-46D5-A8D4-8211ADA4F24B}"/>
    <cellStyle name="계산 3 2 4" xfId="139" xr:uid="{98A6A5A0-860E-4602-969A-0ABAD71FDA3E}"/>
    <cellStyle name="계산 3 3" xfId="114" xr:uid="{E40BBD20-1C09-476E-A7C7-1F48D2B6D376}"/>
    <cellStyle name="계산 3 4" xfId="129" xr:uid="{2C167605-E3EB-4E26-BBDA-4A676A65CB2D}"/>
    <cellStyle name="계산 4" xfId="57" xr:uid="{BC6E7D87-2E7B-4775-A9F7-BDB007949040}"/>
    <cellStyle name="계산 4 2" xfId="77" xr:uid="{EBDBAC79-F9E6-4577-8FE2-B17680D54833}"/>
    <cellStyle name="계산 5" xfId="62" xr:uid="{1FAFC2DF-67D0-4CC2-9913-03C5D68F9E00}"/>
    <cellStyle name="나쁨 2" xfId="33" xr:uid="{03C98D49-8A42-4D41-91A9-8438822123F8}"/>
    <cellStyle name="메모 2" xfId="34" xr:uid="{243E12A3-0B67-4C15-94E2-5471B3B5A3D2}"/>
    <cellStyle name="메모 2 2" xfId="68" xr:uid="{31931DD7-B446-4717-8E43-4144A3223912}"/>
    <cellStyle name="메모 2 2 2" xfId="103" xr:uid="{D8F9359D-D52A-460C-851D-D12809145997}"/>
    <cellStyle name="메모 2 2 3" xfId="120" xr:uid="{0622AAB2-554B-473A-9797-2C0DDE784B5D}"/>
    <cellStyle name="메모 2 2 4" xfId="135" xr:uid="{66D811B7-FE3C-4071-9915-D514190E2A4D}"/>
    <cellStyle name="메모 2 3" xfId="95" xr:uid="{FF08BA54-5167-4CAD-85BC-0C4EBC44E783}"/>
    <cellStyle name="메모 2 4" xfId="98" xr:uid="{AF58DD61-C874-4504-8FC7-084A7A31D8DC}"/>
    <cellStyle name="메모 3" xfId="53" xr:uid="{C744C768-AA3F-4A7A-98C2-01E75D6229D6}"/>
    <cellStyle name="메모 3 2" xfId="73" xr:uid="{D66D8BE4-1752-4A04-97FE-17EA3859BB64}"/>
    <cellStyle name="메모 3 2 2" xfId="109" xr:uid="{AB142E16-DC99-44A6-AAF1-8F269E74B3F8}"/>
    <cellStyle name="메모 3 2 3" xfId="125" xr:uid="{7FAB5461-5609-4C51-A035-F097E397B8AB}"/>
    <cellStyle name="메모 3 2 4" xfId="140" xr:uid="{6B88ED7E-5FCB-43BC-BD17-D5514D474F17}"/>
    <cellStyle name="메모 3 3" xfId="115" xr:uid="{D0938D21-4BB6-405A-83F6-11EC6F990F03}"/>
    <cellStyle name="메모 3 4" xfId="130" xr:uid="{5394DFFF-5881-44ED-AD18-CD22680AE919}"/>
    <cellStyle name="메모 4" xfId="58" xr:uid="{D637E8AF-6593-4C03-B1D4-3A3F31C7BA1C}"/>
    <cellStyle name="메모 4 2" xfId="78" xr:uid="{B36E8179-D78E-4920-9A45-A01DF5646F7F}"/>
    <cellStyle name="메모 5" xfId="63" xr:uid="{2257B94B-41A8-4FFD-8DED-6436B7FCF641}"/>
    <cellStyle name="보통 2" xfId="35" xr:uid="{70C1FAA6-21E3-45C3-9D66-94C13EBE94F1}"/>
    <cellStyle name="설명 텍스트 2" xfId="36" xr:uid="{37C04D59-F8AC-4ACD-BAFA-43A911172B8D}"/>
    <cellStyle name="셀 확인 2" xfId="37" xr:uid="{A77FF458-C287-460D-8D00-37461361DF4A}"/>
    <cellStyle name="쉼표 [0] 2" xfId="82" xr:uid="{08A9FBCC-CE4A-4F8A-82A2-DE30A46570A1}"/>
    <cellStyle name="쉼표 [0] 2 2" xfId="83" xr:uid="{AAE4B8BA-652A-481B-B840-C7E8F2D75A22}"/>
    <cellStyle name="쉼표 [0] 2 2 2" xfId="146" xr:uid="{D4EB3059-0FD1-42CE-9D6D-696ABCA07AC4}"/>
    <cellStyle name="쉼표 [0] 2 3" xfId="84" xr:uid="{1ED6BD15-D7A6-46F7-82A5-4ED9226FCF9C}"/>
    <cellStyle name="쉼표 [0] 2 3 2" xfId="147" xr:uid="{76FE4FA5-B361-4DD1-B4BF-4E03424A9A12}"/>
    <cellStyle name="쉼표 [0] 2 4" xfId="145" xr:uid="{B2D4E3F1-8A28-4D5C-90AF-88C4404C4B6B}"/>
    <cellStyle name="연결된 셀 2" xfId="38" xr:uid="{B7229530-DE0F-4187-A869-A4DE394EAC29}"/>
    <cellStyle name="요약 2" xfId="39" xr:uid="{5B8DF3EB-915D-4C57-88B3-E6B839A7612A}"/>
    <cellStyle name="요약 2 2" xfId="69" xr:uid="{7FA94532-9262-4B7B-833C-A42EAC01D87E}"/>
    <cellStyle name="요약 2 2 2" xfId="104" xr:uid="{B6D557C5-54CC-4963-8B3E-66117ED9AD04}"/>
    <cellStyle name="요약 2 2 3" xfId="121" xr:uid="{28C435E6-FDFA-4818-BFC0-FC104F665EB8}"/>
    <cellStyle name="요약 2 2 4" xfId="136" xr:uid="{37EB46E1-EE73-477C-A718-E658D511F500}"/>
    <cellStyle name="요약 2 3" xfId="94" xr:uid="{F071DEBF-BB16-4407-9B74-94AA732C31F9}"/>
    <cellStyle name="요약 2 4" xfId="100" xr:uid="{9EE3C055-722C-4768-B06E-529B790A033E}"/>
    <cellStyle name="요약 3" xfId="54" xr:uid="{C8AAFFB3-AD01-488A-9C00-6773B06D94C8}"/>
    <cellStyle name="요약 3 2" xfId="74" xr:uid="{471E4D3B-6967-4F00-961C-5B83C145B8D6}"/>
    <cellStyle name="요약 3 2 2" xfId="110" xr:uid="{DB858444-0260-4640-8911-B5CDBD974EE2}"/>
    <cellStyle name="요약 3 2 3" xfId="126" xr:uid="{4F9BF882-0A8C-4569-882F-B2612193B858}"/>
    <cellStyle name="요약 3 2 4" xfId="141" xr:uid="{B1878711-3A27-4ED1-AA0C-F47590F18E92}"/>
    <cellStyle name="요약 3 3" xfId="116" xr:uid="{E7DA5DCE-9199-4F14-BC8D-7F0D76F5796E}"/>
    <cellStyle name="요약 3 4" xfId="131" xr:uid="{FE9F1FB0-4116-4324-BEA2-7FB85615BDE1}"/>
    <cellStyle name="요약 4" xfId="59" xr:uid="{91DE2E4C-5C80-4BF6-B965-0703E63EC013}"/>
    <cellStyle name="요약 4 2" xfId="79" xr:uid="{58299F64-62E4-4664-810D-F9FCB227472D}"/>
    <cellStyle name="요약 5" xfId="64" xr:uid="{56143455-E908-410C-9CEB-65B05ABEECCB}"/>
    <cellStyle name="입력 2" xfId="40" xr:uid="{77BC7106-204A-4E44-A5FC-FB0216B90E4F}"/>
    <cellStyle name="입력 2 2" xfId="70" xr:uid="{48CFAE8F-8966-4AD7-B3EB-15DC5998B857}"/>
    <cellStyle name="입력 2 2 2" xfId="105" xr:uid="{1C983A73-3912-4E8D-8C0A-39699FC24D2D}"/>
    <cellStyle name="입력 2 2 3" xfId="122" xr:uid="{0234143A-8DCC-4874-85CA-64966730A3D0}"/>
    <cellStyle name="입력 2 2 4" xfId="137" xr:uid="{103C4A5B-E4F6-4B78-AFAC-E1B1B408F910}"/>
    <cellStyle name="입력 2 3" xfId="93" xr:uid="{BBFF45D6-01A2-4372-AB88-6E75CE804F1B}"/>
    <cellStyle name="입력 2 4" xfId="99" xr:uid="{C9FB2940-9337-4C1C-8ACB-489D9BE95404}"/>
    <cellStyle name="입력 3" xfId="55" xr:uid="{D91D474C-58A1-4C03-B66A-EAC36B04358C}"/>
    <cellStyle name="입력 3 2" xfId="75" xr:uid="{C2B729BD-25F0-439E-92D6-4AEB37634BA3}"/>
    <cellStyle name="입력 3 2 2" xfId="111" xr:uid="{64427944-C7AC-49F1-95FA-10837DA295C9}"/>
    <cellStyle name="입력 3 2 3" xfId="127" xr:uid="{13238823-2060-42D1-B354-519E77E0E681}"/>
    <cellStyle name="입력 3 2 4" xfId="142" xr:uid="{5D7121A2-008E-4769-AAF6-7B4526900B56}"/>
    <cellStyle name="입력 3 3" xfId="117" xr:uid="{6A09FE40-1A27-4278-AE4B-2B4541ADDC56}"/>
    <cellStyle name="입력 3 4" xfId="132" xr:uid="{7DB69CB5-75FC-47A9-A5AB-BD41D0C41653}"/>
    <cellStyle name="입력 4" xfId="60" xr:uid="{90D33D68-BA82-48DD-BA7D-0723137AEBE2}"/>
    <cellStyle name="입력 4 2" xfId="80" xr:uid="{8A161026-DF39-42FC-A651-AF8D7E565BC4}"/>
    <cellStyle name="입력 5" xfId="65" xr:uid="{49BBDE70-14D2-42DC-841A-980CDD57AA76}"/>
    <cellStyle name="제목 1 2" xfId="42" xr:uid="{ECEB1312-D958-4227-950F-95644E5A6490}"/>
    <cellStyle name="제목 2 2" xfId="43" xr:uid="{B364AC28-E049-4CF8-B772-DC52DCA99F23}"/>
    <cellStyle name="제목 3 2" xfId="44" xr:uid="{5F1F84F9-40F6-4C7C-8A66-FDCBBA652D9D}"/>
    <cellStyle name="제목 3 2 2" xfId="106" xr:uid="{A6DA369F-0354-47A8-9B9F-A98B269A615C}"/>
    <cellStyle name="제목 4 2" xfId="45" xr:uid="{EDC41AD4-6B07-4FE4-8D91-6452A8F1B4F1}"/>
    <cellStyle name="제목 5" xfId="41" xr:uid="{C9DF9B37-D3DD-4A65-A0A1-18D48B7AB171}"/>
    <cellStyle name="좋음 2" xfId="46" xr:uid="{EFF350DB-EB4C-491B-BA0D-3CBE713AC01E}"/>
    <cellStyle name="출력 2" xfId="47" xr:uid="{A27CEC28-6D0F-43D1-9B55-6C81C9EB712A}"/>
    <cellStyle name="출력 2 2" xfId="71" xr:uid="{1020A4F2-ECB4-48C7-BB8D-85B029D31D23}"/>
    <cellStyle name="출력 2 2 2" xfId="107" xr:uid="{7F0A5678-8AA5-4CF3-BCB4-CB9D8E75AC3D}"/>
    <cellStyle name="출력 2 2 3" xfId="123" xr:uid="{D04EBB15-835E-4979-85FF-AC110771E9C3}"/>
    <cellStyle name="출력 2 2 4" xfId="138" xr:uid="{44DDD043-76EB-4FD9-BF73-21B07AD6FDFA}"/>
    <cellStyle name="출력 2 3" xfId="113" xr:uid="{5D2E7167-6F3C-43DA-B4D7-36BEDF5BB229}"/>
    <cellStyle name="출력 2 4" xfId="101" xr:uid="{2ECBE331-5D2A-4CC3-8740-AD95BC44D2DB}"/>
    <cellStyle name="출력 3" xfId="56" xr:uid="{005852D6-9169-4E26-ACD1-DEEAF9270778}"/>
    <cellStyle name="출력 3 2" xfId="76" xr:uid="{53FC1199-7AEB-4298-A637-859BFC4612C1}"/>
    <cellStyle name="출력 3 2 2" xfId="112" xr:uid="{95A37381-6EDB-452B-B2E9-184F26B6614A}"/>
    <cellStyle name="출력 3 2 3" xfId="128" xr:uid="{F5428448-4F0D-431E-8FAE-9D20469B1AA5}"/>
    <cellStyle name="출력 3 2 4" xfId="143" xr:uid="{7FB20DD2-1009-4758-B25E-F15B05ECB180}"/>
    <cellStyle name="출력 3 3" xfId="118" xr:uid="{42A21BB4-F527-47A5-892D-A60A5F9A9CAB}"/>
    <cellStyle name="출력 3 4" xfId="133" xr:uid="{5D86E203-CF52-414E-ABC9-9A7403A03753}"/>
    <cellStyle name="출력 4" xfId="61" xr:uid="{4E4C9F23-E3A2-489D-A768-D39631EB54AF}"/>
    <cellStyle name="출력 4 2" xfId="81" xr:uid="{EF83DA02-EEDB-429A-912F-845E36F9C1DB}"/>
    <cellStyle name="출력 5" xfId="66" xr:uid="{997E91B4-5034-4CE2-A143-2BEEC276C701}"/>
    <cellStyle name="콤마 [0]_Rsm_ds" xfId="48" xr:uid="{B521C180-78B4-4078-AD63-CF6513279E7F}"/>
    <cellStyle name="콤마_Rsm_ds" xfId="49" xr:uid="{CF8A644E-D448-4B6D-B0FF-E3A984317616}"/>
    <cellStyle name="표준" xfId="0" builtinId="0"/>
    <cellStyle name="표준 10" xfId="144" xr:uid="{B3F80EBF-52B0-495C-AF26-8B92DE889CAE}"/>
    <cellStyle name="표준 2" xfId="2" xr:uid="{7C837211-7BEE-467E-94CF-91506BA1CD67}"/>
    <cellStyle name="표준 2 2" xfId="50" xr:uid="{FD7D47C3-CCED-47CC-BC91-CB64BC64578F}"/>
    <cellStyle name="표준 2 3" xfId="92" xr:uid="{B79AA119-5FC5-46D8-A14E-2B26ECB462E4}"/>
    <cellStyle name="표준 2 4" xfId="86" xr:uid="{5F7CEE45-20A0-4E06-85D6-F38B34D60404}"/>
    <cellStyle name="표준 2 4 2" xfId="148" xr:uid="{FCE59592-216A-4F45-9620-68D4D13A340F}"/>
    <cellStyle name="표준 3" xfId="87" xr:uid="{FABD9897-9C4D-41C5-BD0D-732F78B7F96A}"/>
    <cellStyle name="표준 3 2" xfId="149" xr:uid="{BFBAD358-7D46-4559-AB48-885CA015AB4D}"/>
    <cellStyle name="표준 4" xfId="88" xr:uid="{FEDE79CE-E2A4-4211-B0E9-507983296304}"/>
    <cellStyle name="표준 5" xfId="89" xr:uid="{B377D7F5-D1FE-4CF3-A1DA-5CD36D6A7528}"/>
    <cellStyle name="표준 5 2" xfId="150" xr:uid="{E9DC3B46-5857-444C-A0C7-16AB0877D28B}"/>
    <cellStyle name="표준 6" xfId="90" xr:uid="{3BCE4230-E53E-4E42-ADEA-17B156B34439}"/>
    <cellStyle name="표준 6 2" xfId="151" xr:uid="{98D5A1ED-2AEB-413F-AC2C-56D32A3F1403}"/>
    <cellStyle name="표준 7" xfId="91" xr:uid="{8E21A212-45AF-4CD5-A798-7DC3A7DFFBB1}"/>
    <cellStyle name="표준 7 2" xfId="152" xr:uid="{B89EF4CE-8D98-40DB-BD5E-4670E22BE9EB}"/>
    <cellStyle name="표준 8" xfId="85" xr:uid="{EB2AA990-8FFE-44CD-B626-8F77052A736B}"/>
    <cellStyle name="표준 9" xfId="6" xr:uid="{006DCD96-B450-4E54-8511-3AD407BC577C}"/>
    <cellStyle name="표준_Rsm_ds" xfId="1" xr:uid="{AB44EF77-AC94-4201-88A7-FA107C7CB5C8}"/>
    <cellStyle name="표준_Sheet1" xfId="4" xr:uid="{8ED5A40E-3817-4DE6-AB92-FEC481BD966A}"/>
    <cellStyle name="표준_Sheet1_1" xfId="5" xr:uid="{6FC7572E-98DC-4EA5-8AEB-23F99EA7F65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33652</xdr:colOff>
      <xdr:row>0</xdr:row>
      <xdr:rowOff>231333</xdr:rowOff>
    </xdr:from>
    <xdr:to>
      <xdr:col>21</xdr:col>
      <xdr:colOff>74083</xdr:colOff>
      <xdr:row>5</xdr:row>
      <xdr:rowOff>112879</xdr:rowOff>
    </xdr:to>
    <xdr:pic>
      <xdr:nvPicPr>
        <xdr:cNvPr id="2" name="그림 16" descr="symbol-3.tif">
          <a:extLst>
            <a:ext uri="{FF2B5EF4-FFF2-40B4-BE49-F238E27FC236}">
              <a16:creationId xmlns:a16="http://schemas.microsoft.com/office/drawing/2014/main" id="{EF00C30A-E0B3-4762-8825-DD197C468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0569" y="231333"/>
          <a:ext cx="1985647" cy="10486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C7061-6080-4544-96C1-E1E51AF05531}">
  <dimension ref="A1:CT62"/>
  <sheetViews>
    <sheetView showGridLines="0" tabSelected="1" zoomScale="85" zoomScaleNormal="85" workbookViewId="0">
      <selection activeCell="CK21" sqref="CK21"/>
    </sheetView>
  </sheetViews>
  <sheetFormatPr defaultColWidth="9" defaultRowHeight="17"/>
  <cols>
    <col min="1" max="6" width="1.33203125" style="61" customWidth="1"/>
    <col min="7" max="7" width="0.33203125" style="61" customWidth="1"/>
    <col min="8" max="15" width="1.25" style="61" customWidth="1"/>
    <col min="16" max="16" width="2.25" style="61" customWidth="1"/>
    <col min="17" max="17" width="0.33203125" style="61" customWidth="1"/>
    <col min="18" max="18" width="2" style="61" customWidth="1"/>
    <col min="19" max="19" width="3.25" style="61" customWidth="1"/>
    <col min="20" max="20" width="1.83203125" style="61" customWidth="1"/>
    <col min="21" max="45" width="1.25" style="61" customWidth="1"/>
    <col min="46" max="51" width="1.33203125" style="61" customWidth="1"/>
    <col min="52" max="52" width="0.33203125" style="61" customWidth="1"/>
    <col min="53" max="58" width="1.25" style="61" customWidth="1"/>
    <col min="59" max="59" width="2.33203125" style="61" customWidth="1"/>
    <col min="60" max="60" width="0.33203125" style="61" customWidth="1"/>
    <col min="61" max="61" width="1.25" style="61" customWidth="1"/>
    <col min="62" max="62" width="0.33203125" style="61" customWidth="1"/>
    <col min="63" max="67" width="1.25" style="61" customWidth="1"/>
    <col min="68" max="68" width="2.25" style="61" customWidth="1"/>
    <col min="69" max="88" width="1.25" style="61" customWidth="1"/>
    <col min="89" max="89" width="9" style="71"/>
    <col min="90" max="90" width="2.83203125" style="71" customWidth="1"/>
    <col min="91" max="91" width="19.08203125" style="5" bestFit="1" customWidth="1"/>
    <col min="92" max="92" width="1.5" style="5" customWidth="1"/>
    <col min="93" max="93" width="29.33203125" style="5" customWidth="1"/>
    <col min="94" max="95" width="14.58203125" style="5" customWidth="1"/>
    <col min="96" max="96" width="2.75" style="71" customWidth="1"/>
    <col min="97" max="98" width="9" style="71"/>
    <col min="99" max="16384" width="9" style="2"/>
  </cols>
  <sheetData>
    <row r="1" spans="1:98" ht="25.5" thickBot="1">
      <c r="A1" s="131"/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3"/>
      <c r="AA1" s="140" t="s">
        <v>0</v>
      </c>
      <c r="AB1" s="141"/>
      <c r="AC1" s="141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41"/>
      <c r="AS1" s="141"/>
      <c r="AT1" s="141"/>
      <c r="AU1" s="141"/>
      <c r="AV1" s="141"/>
      <c r="AW1" s="141"/>
      <c r="AX1" s="141"/>
      <c r="AY1" s="141"/>
      <c r="AZ1" s="141"/>
      <c r="BA1" s="141"/>
      <c r="BB1" s="141"/>
      <c r="BC1" s="141"/>
      <c r="BD1" s="141"/>
      <c r="BE1" s="141"/>
      <c r="BF1" s="141"/>
      <c r="BG1" s="141"/>
      <c r="BH1" s="141"/>
      <c r="BI1" s="141"/>
      <c r="BJ1" s="141"/>
      <c r="BK1" s="141"/>
      <c r="BL1" s="141"/>
      <c r="BM1" s="141"/>
      <c r="BN1" s="141"/>
      <c r="BO1" s="141"/>
      <c r="BP1" s="141"/>
      <c r="BQ1" s="141"/>
      <c r="BR1" s="141"/>
      <c r="BS1" s="141"/>
      <c r="BT1" s="141"/>
      <c r="BU1" s="141"/>
      <c r="BV1" s="141"/>
      <c r="BW1" s="142"/>
      <c r="BX1" s="143" t="s">
        <v>1</v>
      </c>
      <c r="BY1" s="143"/>
      <c r="BZ1" s="143"/>
      <c r="CA1" s="143"/>
      <c r="CB1" s="143"/>
      <c r="CC1" s="144"/>
      <c r="CD1" s="143"/>
      <c r="CE1" s="143"/>
      <c r="CF1" s="143"/>
      <c r="CG1" s="143"/>
      <c r="CH1" s="143"/>
      <c r="CI1" s="143"/>
      <c r="CJ1" s="145"/>
      <c r="CM1" s="100"/>
      <c r="CN1" s="100"/>
      <c r="CO1" s="100"/>
      <c r="CP1" s="100"/>
      <c r="CQ1" s="100"/>
    </row>
    <row r="2" spans="1:98" ht="17.5" thickBot="1">
      <c r="A2" s="134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6"/>
      <c r="AA2" s="3" t="s">
        <v>2</v>
      </c>
      <c r="AB2" s="3"/>
      <c r="AC2" s="3"/>
      <c r="AD2" s="3"/>
      <c r="AE2" s="3"/>
      <c r="AF2" s="3"/>
      <c r="AG2" s="3"/>
      <c r="AH2" s="4"/>
      <c r="AI2" s="17"/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  <c r="AX2" s="146"/>
      <c r="AY2" s="146"/>
      <c r="AZ2" s="146"/>
      <c r="BA2" s="146"/>
      <c r="BB2" s="146"/>
      <c r="BC2" s="146"/>
      <c r="BD2" s="146"/>
      <c r="BE2" s="146"/>
      <c r="BF2" s="146"/>
      <c r="BG2" s="146"/>
      <c r="BH2" s="146"/>
      <c r="BI2" s="146"/>
      <c r="BJ2" s="146"/>
      <c r="BK2" s="146"/>
      <c r="BL2" s="146"/>
      <c r="BM2" s="146"/>
      <c r="BN2" s="146"/>
      <c r="BO2" s="146"/>
      <c r="BP2" s="146"/>
      <c r="BQ2" s="146"/>
      <c r="BR2" s="146"/>
      <c r="BS2" s="146"/>
      <c r="BT2" s="146"/>
      <c r="BU2" s="146"/>
      <c r="BV2" s="146"/>
      <c r="BW2" s="146"/>
      <c r="BX2" s="146"/>
      <c r="BY2" s="146"/>
      <c r="BZ2" s="146"/>
      <c r="CA2" s="146"/>
      <c r="CB2" s="146"/>
      <c r="CC2" s="146"/>
      <c r="CD2" s="146"/>
      <c r="CE2" s="146"/>
      <c r="CF2" s="146"/>
      <c r="CG2" s="146"/>
      <c r="CH2" s="146"/>
      <c r="CI2" s="146"/>
      <c r="CJ2" s="147"/>
      <c r="CL2" s="93"/>
      <c r="CM2" s="101"/>
      <c r="CN2" s="101"/>
      <c r="CO2" s="101"/>
      <c r="CP2" s="101"/>
      <c r="CQ2" s="101"/>
      <c r="CR2" s="97"/>
    </row>
    <row r="3" spans="1:98">
      <c r="A3" s="134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6"/>
      <c r="AA3" s="3" t="s">
        <v>3</v>
      </c>
      <c r="AB3" s="3"/>
      <c r="AC3" s="3"/>
      <c r="AD3" s="3"/>
      <c r="AE3" s="3"/>
      <c r="AF3" s="3"/>
      <c r="AG3" s="3"/>
      <c r="AH3" s="4"/>
      <c r="AI3" s="6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9"/>
      <c r="CL3" s="94"/>
      <c r="CM3" s="122" t="s">
        <v>563</v>
      </c>
      <c r="CN3" s="123"/>
      <c r="CO3" s="123"/>
      <c r="CP3" s="123"/>
      <c r="CQ3" s="124"/>
      <c r="CR3" s="98"/>
    </row>
    <row r="4" spans="1:98">
      <c r="A4" s="134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6"/>
      <c r="AA4" s="148" t="s">
        <v>4</v>
      </c>
      <c r="AB4" s="148"/>
      <c r="AC4" s="148"/>
      <c r="AD4" s="148"/>
      <c r="AE4" s="148"/>
      <c r="AF4" s="148"/>
      <c r="AG4" s="148"/>
      <c r="AH4" s="150"/>
      <c r="AI4" s="6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9"/>
      <c r="CL4" s="94"/>
      <c r="CM4" s="125"/>
      <c r="CN4" s="126"/>
      <c r="CO4" s="126"/>
      <c r="CP4" s="126"/>
      <c r="CQ4" s="127"/>
      <c r="CR4" s="98"/>
    </row>
    <row r="5" spans="1:98" ht="16.5" customHeight="1">
      <c r="A5" s="134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6"/>
      <c r="AA5" s="148" t="s">
        <v>5</v>
      </c>
      <c r="AB5" s="148"/>
      <c r="AC5" s="148"/>
      <c r="AD5" s="148"/>
      <c r="AE5" s="148"/>
      <c r="AF5" s="148"/>
      <c r="AG5" s="148"/>
      <c r="AH5" s="150"/>
      <c r="AI5" s="6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50"/>
      <c r="BO5" s="6" t="s">
        <v>6</v>
      </c>
      <c r="BP5" s="7"/>
      <c r="BQ5" s="6"/>
      <c r="BR5" s="8"/>
      <c r="BS5" s="8"/>
      <c r="BT5" s="8"/>
      <c r="BU5" s="8"/>
      <c r="BV5" s="8"/>
      <c r="BW5" s="7"/>
      <c r="BX5" s="158"/>
      <c r="BY5" s="159"/>
      <c r="BZ5" s="159"/>
      <c r="CA5" s="159"/>
      <c r="CB5" s="159"/>
      <c r="CC5" s="159"/>
      <c r="CD5" s="159"/>
      <c r="CE5" s="159"/>
      <c r="CF5" s="159"/>
      <c r="CG5" s="159"/>
      <c r="CH5" s="159"/>
      <c r="CI5" s="159"/>
      <c r="CJ5" s="160"/>
      <c r="CL5" s="94"/>
      <c r="CM5" s="125"/>
      <c r="CN5" s="126"/>
      <c r="CO5" s="126"/>
      <c r="CP5" s="126"/>
      <c r="CQ5" s="127"/>
      <c r="CR5" s="98"/>
      <c r="CT5" s="2"/>
    </row>
    <row r="6" spans="1:98" ht="17.5" thickBot="1">
      <c r="A6" s="137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9"/>
      <c r="AA6" s="151" t="s">
        <v>7</v>
      </c>
      <c r="AB6" s="151"/>
      <c r="AC6" s="151"/>
      <c r="AD6" s="151"/>
      <c r="AE6" s="151"/>
      <c r="AF6" s="151"/>
      <c r="AG6" s="151"/>
      <c r="AH6" s="152"/>
      <c r="AI6" s="9"/>
      <c r="AJ6" s="153"/>
      <c r="AK6" s="153"/>
      <c r="AL6" s="153"/>
      <c r="AM6" s="153"/>
      <c r="AN6" s="153"/>
      <c r="AO6" s="153"/>
      <c r="AP6" s="153"/>
      <c r="AQ6" s="153"/>
      <c r="AR6" s="153"/>
      <c r="AS6" s="153"/>
      <c r="AT6" s="153"/>
      <c r="AU6" s="153"/>
      <c r="AV6" s="153"/>
      <c r="AW6" s="153"/>
      <c r="AX6" s="153"/>
      <c r="AY6" s="153"/>
      <c r="AZ6" s="153"/>
      <c r="BA6" s="153"/>
      <c r="BB6" s="153"/>
      <c r="BC6" s="153"/>
      <c r="BD6" s="153"/>
      <c r="BE6" s="153"/>
      <c r="BF6" s="153"/>
      <c r="BG6" s="153"/>
      <c r="BH6" s="153"/>
      <c r="BI6" s="153"/>
      <c r="BJ6" s="153"/>
      <c r="BK6" s="153"/>
      <c r="BL6" s="153"/>
      <c r="BM6" s="153"/>
      <c r="BN6" s="154"/>
      <c r="BO6" s="9" t="s">
        <v>8</v>
      </c>
      <c r="BP6" s="10"/>
      <c r="BQ6" s="9"/>
      <c r="BR6" s="11"/>
      <c r="BS6" s="11"/>
      <c r="BT6" s="11"/>
      <c r="BU6" s="11"/>
      <c r="BV6" s="11"/>
      <c r="BW6" s="10"/>
      <c r="BX6" s="155"/>
      <c r="BY6" s="156"/>
      <c r="BZ6" s="156"/>
      <c r="CA6" s="156"/>
      <c r="CB6" s="156"/>
      <c r="CC6" s="156"/>
      <c r="CD6" s="156"/>
      <c r="CE6" s="156"/>
      <c r="CF6" s="156"/>
      <c r="CG6" s="156"/>
      <c r="CH6" s="156"/>
      <c r="CI6" s="156"/>
      <c r="CJ6" s="157"/>
      <c r="CL6" s="94"/>
      <c r="CM6" s="128"/>
      <c r="CN6" s="129"/>
      <c r="CO6" s="129"/>
      <c r="CP6" s="129"/>
      <c r="CQ6" s="130"/>
      <c r="CR6" s="98"/>
      <c r="CT6" s="2"/>
    </row>
    <row r="7" spans="1:98" ht="20.5" thickBot="1">
      <c r="A7" s="12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4"/>
      <c r="AB7" s="14"/>
      <c r="AC7" s="14"/>
      <c r="AD7" s="14"/>
      <c r="AE7" s="14"/>
      <c r="AF7" s="14"/>
      <c r="AG7" s="14"/>
      <c r="AH7" s="14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6"/>
      <c r="CL7" s="94"/>
      <c r="CR7" s="98"/>
      <c r="CT7" s="2"/>
    </row>
    <row r="8" spans="1:98">
      <c r="A8" s="182" t="s">
        <v>9</v>
      </c>
      <c r="B8" s="183"/>
      <c r="C8" s="183"/>
      <c r="D8" s="184"/>
      <c r="E8" s="234">
        <v>1</v>
      </c>
      <c r="F8" s="235"/>
      <c r="G8" s="17" t="s">
        <v>10</v>
      </c>
      <c r="H8" s="256" t="s">
        <v>11</v>
      </c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257"/>
      <c r="V8" s="258"/>
      <c r="W8" s="256"/>
      <c r="X8" s="256"/>
      <c r="Y8" s="256"/>
      <c r="Z8" s="256"/>
      <c r="AA8" s="256"/>
      <c r="AB8" s="256"/>
      <c r="AC8" s="256"/>
      <c r="AD8" s="256"/>
      <c r="AE8" s="256"/>
      <c r="AF8" s="256"/>
      <c r="AG8" s="256"/>
      <c r="AH8" s="257"/>
      <c r="AI8" s="258"/>
      <c r="AJ8" s="256"/>
      <c r="AK8" s="256"/>
      <c r="AL8" s="256"/>
      <c r="AM8" s="256"/>
      <c r="AN8" s="256"/>
      <c r="AO8" s="256"/>
      <c r="AP8" s="256"/>
      <c r="AQ8" s="256"/>
      <c r="AR8" s="256"/>
      <c r="AS8" s="259"/>
      <c r="AT8" s="182" t="s">
        <v>12</v>
      </c>
      <c r="AU8" s="183"/>
      <c r="AV8" s="183"/>
      <c r="AW8" s="184"/>
      <c r="AX8" s="191">
        <v>46</v>
      </c>
      <c r="AY8" s="192"/>
      <c r="AZ8" s="17" t="s">
        <v>10</v>
      </c>
      <c r="BA8" s="146" t="s">
        <v>13</v>
      </c>
      <c r="BB8" s="146"/>
      <c r="BC8" s="146"/>
      <c r="BD8" s="146"/>
      <c r="BE8" s="146"/>
      <c r="BF8" s="146"/>
      <c r="BG8" s="146"/>
      <c r="BH8" s="146"/>
      <c r="BI8" s="146"/>
      <c r="BJ8" s="146"/>
      <c r="BK8" s="146"/>
      <c r="BL8" s="146"/>
      <c r="BM8" s="146"/>
      <c r="BN8" s="146"/>
      <c r="BO8" s="146"/>
      <c r="BP8" s="193"/>
      <c r="BQ8" s="194" t="str">
        <f>_xlfn.TEXTJOIN(" ", TRUE,
  IF(CP8&lt;&gt;"-", CP8, ""),
  IF(CQ8&lt;&gt;"-", CQ8, "")
)</f>
        <v/>
      </c>
      <c r="BR8" s="195"/>
      <c r="BS8" s="195"/>
      <c r="BT8" s="195"/>
      <c r="BU8" s="195"/>
      <c r="BV8" s="195"/>
      <c r="BW8" s="195"/>
      <c r="BX8" s="195"/>
      <c r="BY8" s="195"/>
      <c r="BZ8" s="195"/>
      <c r="CA8" s="195"/>
      <c r="CB8" s="195"/>
      <c r="CC8" s="195"/>
      <c r="CD8" s="195"/>
      <c r="CE8" s="195"/>
      <c r="CF8" s="195"/>
      <c r="CG8" s="195"/>
      <c r="CH8" s="195"/>
      <c r="CI8" s="195"/>
      <c r="CJ8" s="196"/>
      <c r="CL8" s="94"/>
      <c r="CM8" s="87" t="s">
        <v>565</v>
      </c>
      <c r="CN8" s="95"/>
      <c r="CO8" s="81" t="s">
        <v>471</v>
      </c>
      <c r="CP8" s="90" t="str" cm="1">
        <f t="array" ref="CP8">IFERROR(
IF(INDEX(ACT!M:M,MATCH(1,(ACT!H:H=CM9)*(ACT!I:I=CM13),0))="", "-",
INDEX(ACT!M:M,MATCH(1,(ACT!H:H=CM9)*(ACT!I:I=CM13),0))), "-"
)</f>
        <v>-</v>
      </c>
      <c r="CQ8" s="91" t="str">
        <f>IFERROR(
IF(INDEX(ACT!F:F, MATCH(CM11,ACT!B:B, 0)) = "", "-",
INDEX(ACT!F:F, MATCH(CM11,ACT!B:B, 0))), "-"
)</f>
        <v>-</v>
      </c>
      <c r="CR8" s="98"/>
      <c r="CT8" s="2"/>
    </row>
    <row r="9" spans="1:98">
      <c r="A9" s="185"/>
      <c r="B9" s="186"/>
      <c r="C9" s="186"/>
      <c r="D9" s="187"/>
      <c r="E9" s="167">
        <v>2</v>
      </c>
      <c r="F9" s="168"/>
      <c r="G9" s="200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2"/>
      <c r="V9" s="165" t="s">
        <v>14</v>
      </c>
      <c r="W9" s="165"/>
      <c r="X9" s="165"/>
      <c r="Y9" s="165"/>
      <c r="Z9" s="165"/>
      <c r="AA9" s="165"/>
      <c r="AB9" s="165"/>
      <c r="AC9" s="165"/>
      <c r="AD9" s="165" t="s">
        <v>15</v>
      </c>
      <c r="AE9" s="165"/>
      <c r="AF9" s="165"/>
      <c r="AG9" s="165"/>
      <c r="AH9" s="165"/>
      <c r="AI9" s="165"/>
      <c r="AJ9" s="165"/>
      <c r="AK9" s="165"/>
      <c r="AL9" s="165" t="s">
        <v>16</v>
      </c>
      <c r="AM9" s="165"/>
      <c r="AN9" s="165"/>
      <c r="AO9" s="165"/>
      <c r="AP9" s="165"/>
      <c r="AQ9" s="165"/>
      <c r="AR9" s="165"/>
      <c r="AS9" s="166"/>
      <c r="AT9" s="185"/>
      <c r="AU9" s="186"/>
      <c r="AV9" s="186"/>
      <c r="AW9" s="187"/>
      <c r="AX9" s="170">
        <v>47</v>
      </c>
      <c r="AY9" s="171"/>
      <c r="AZ9" s="6" t="s">
        <v>10</v>
      </c>
      <c r="BA9" s="148" t="s">
        <v>17</v>
      </c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50"/>
      <c r="BQ9" s="165" t="str">
        <f t="shared" ref="BQ9:BQ16" si="0">IF(CP9="", "-", CP9)</f>
        <v>-</v>
      </c>
      <c r="BR9" s="165"/>
      <c r="BS9" s="165"/>
      <c r="BT9" s="165"/>
      <c r="BU9" s="165"/>
      <c r="BV9" s="165"/>
      <c r="BW9" s="165"/>
      <c r="BX9" s="165"/>
      <c r="BY9" s="165"/>
      <c r="BZ9" s="165"/>
      <c r="CA9" s="165"/>
      <c r="CB9" s="165"/>
      <c r="CC9" s="165"/>
      <c r="CD9" s="165"/>
      <c r="CE9" s="165"/>
      <c r="CF9" s="165"/>
      <c r="CG9" s="165"/>
      <c r="CH9" s="165"/>
      <c r="CI9" s="165"/>
      <c r="CJ9" s="166"/>
      <c r="CL9" s="94"/>
      <c r="CM9" s="89"/>
      <c r="CN9" s="35"/>
      <c r="CO9" s="82" t="s">
        <v>322</v>
      </c>
      <c r="CP9" s="161" t="str">
        <f>IFERROR(
IF(INDEX(ACT!C:C, MATCH(CM11,ACT!B:B, 0))="", "-",
INDEX(ACT!C:C, MATCH(CM11,ACT!B:B, 0))), "-"
)</f>
        <v>-</v>
      </c>
      <c r="CQ9" s="162"/>
      <c r="CR9" s="98"/>
      <c r="CT9" s="2"/>
    </row>
    <row r="10" spans="1:98">
      <c r="A10" s="185"/>
      <c r="B10" s="186"/>
      <c r="C10" s="186"/>
      <c r="D10" s="187"/>
      <c r="E10" s="167">
        <v>3</v>
      </c>
      <c r="F10" s="168"/>
      <c r="G10" s="6" t="s">
        <v>18</v>
      </c>
      <c r="H10" s="148" t="s">
        <v>19</v>
      </c>
      <c r="I10" s="148"/>
      <c r="J10" s="148"/>
      <c r="K10" s="148"/>
      <c r="L10" s="148"/>
      <c r="M10" s="148"/>
      <c r="N10" s="148"/>
      <c r="O10" s="148"/>
      <c r="P10" s="150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  <c r="AI10" s="165"/>
      <c r="AJ10" s="165"/>
      <c r="AK10" s="165"/>
      <c r="AL10" s="165"/>
      <c r="AM10" s="165"/>
      <c r="AN10" s="165"/>
      <c r="AO10" s="165"/>
      <c r="AP10" s="165"/>
      <c r="AQ10" s="165"/>
      <c r="AR10" s="165"/>
      <c r="AS10" s="166"/>
      <c r="AT10" s="185"/>
      <c r="AU10" s="186"/>
      <c r="AV10" s="186"/>
      <c r="AW10" s="187"/>
      <c r="AX10" s="170">
        <v>48</v>
      </c>
      <c r="AY10" s="171"/>
      <c r="AZ10" s="6"/>
      <c r="BA10" s="148" t="s">
        <v>20</v>
      </c>
      <c r="BB10" s="148"/>
      <c r="BC10" s="148"/>
      <c r="BD10" s="148"/>
      <c r="BE10" s="148"/>
      <c r="BF10" s="148"/>
      <c r="BG10" s="150"/>
      <c r="BH10" s="18" t="s">
        <v>10</v>
      </c>
      <c r="BI10" s="148" t="s">
        <v>21</v>
      </c>
      <c r="BJ10" s="148"/>
      <c r="BK10" s="148"/>
      <c r="BL10" s="148"/>
      <c r="BM10" s="148"/>
      <c r="BN10" s="148"/>
      <c r="BO10" s="148"/>
      <c r="BP10" s="150"/>
      <c r="BQ10" s="169" t="str">
        <f t="shared" si="0"/>
        <v>-</v>
      </c>
      <c r="BR10" s="169"/>
      <c r="BS10" s="169"/>
      <c r="BT10" s="169"/>
      <c r="BU10" s="169"/>
      <c r="BV10" s="169"/>
      <c r="BW10" s="169"/>
      <c r="BX10" s="169"/>
      <c r="BY10" s="169"/>
      <c r="BZ10" s="169"/>
      <c r="CA10" s="169" t="str">
        <f>IF(CQ10="", "-", CQ10)</f>
        <v>-</v>
      </c>
      <c r="CB10" s="169"/>
      <c r="CC10" s="169"/>
      <c r="CD10" s="169"/>
      <c r="CE10" s="169"/>
      <c r="CF10" s="169"/>
      <c r="CG10" s="169"/>
      <c r="CH10" s="169"/>
      <c r="CI10" s="169"/>
      <c r="CJ10" s="199"/>
      <c r="CL10" s="94"/>
      <c r="CM10" s="87" t="s">
        <v>547</v>
      </c>
      <c r="CN10" s="35"/>
      <c r="CO10" s="82" t="s">
        <v>472</v>
      </c>
      <c r="CP10" s="116" t="str" cm="1">
        <f t="array" ref="CP10">IFERROR(
IF(INDEX(ACT!K:K,MATCH(1,(ACT!H:H=CM9)*(ACT!I:I=CM13),0))="", "-",
INDEX(ACT!K:K,MATCH(1,(ACT!H:H=CM9)*(ACT!I:I=CM13),0))), "-"
)</f>
        <v>-</v>
      </c>
      <c r="CQ10" s="115" t="str" cm="1">
        <f t="array" ref="CQ10">IFERROR(
IF(INDEX(ACT!L:L,MATCH(1,(ACT!H:H=CM9)*(ACT!I:I=CM13),0))="", "-",
INDEX(ACT!L:L,MATCH(1,(ACT!H:H=CM9)*(ACT!I:I=CM13),0))), "-"
)</f>
        <v>-</v>
      </c>
      <c r="CR10" s="98"/>
      <c r="CT10" s="2"/>
    </row>
    <row r="11" spans="1:98" ht="16.5" customHeight="1">
      <c r="A11" s="185"/>
      <c r="B11" s="186"/>
      <c r="C11" s="186"/>
      <c r="D11" s="187"/>
      <c r="E11" s="167">
        <v>4</v>
      </c>
      <c r="F11" s="168"/>
      <c r="G11" s="6"/>
      <c r="H11" s="148" t="s">
        <v>22</v>
      </c>
      <c r="I11" s="148"/>
      <c r="J11" s="148"/>
      <c r="K11" s="148"/>
      <c r="L11" s="148"/>
      <c r="M11" s="148"/>
      <c r="N11" s="148"/>
      <c r="O11" s="148"/>
      <c r="P11" s="150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  <c r="AD11" s="165"/>
      <c r="AE11" s="165"/>
      <c r="AF11" s="165"/>
      <c r="AG11" s="165"/>
      <c r="AH11" s="165"/>
      <c r="AI11" s="165"/>
      <c r="AJ11" s="165"/>
      <c r="AK11" s="165"/>
      <c r="AL11" s="165"/>
      <c r="AM11" s="165"/>
      <c r="AN11" s="165"/>
      <c r="AO11" s="165"/>
      <c r="AP11" s="165"/>
      <c r="AQ11" s="165"/>
      <c r="AR11" s="165"/>
      <c r="AS11" s="165"/>
      <c r="AT11" s="185"/>
      <c r="AU11" s="186"/>
      <c r="AV11" s="186"/>
      <c r="AW11" s="187"/>
      <c r="AX11" s="170">
        <v>49</v>
      </c>
      <c r="AY11" s="171"/>
      <c r="AZ11" s="6" t="s">
        <v>10</v>
      </c>
      <c r="BA11" s="148" t="s">
        <v>23</v>
      </c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50"/>
      <c r="BQ11" s="197" t="str">
        <f t="shared" si="0"/>
        <v>-</v>
      </c>
      <c r="BR11" s="197"/>
      <c r="BS11" s="197"/>
      <c r="BT11" s="197"/>
      <c r="BU11" s="197"/>
      <c r="BV11" s="197"/>
      <c r="BW11" s="197"/>
      <c r="BX11" s="197"/>
      <c r="BY11" s="197"/>
      <c r="BZ11" s="197"/>
      <c r="CA11" s="197"/>
      <c r="CB11" s="197"/>
      <c r="CC11" s="197"/>
      <c r="CD11" s="197"/>
      <c r="CE11" s="197"/>
      <c r="CF11" s="197"/>
      <c r="CG11" s="197"/>
      <c r="CH11" s="197"/>
      <c r="CI11" s="197"/>
      <c r="CJ11" s="198"/>
      <c r="CL11" s="94"/>
      <c r="CM11" s="88"/>
      <c r="CO11" s="82" t="s">
        <v>473</v>
      </c>
      <c r="CP11" s="163" t="str" cm="1">
        <f t="array" ref="CP11">IFERROR(
IF(INDEX(ACT!J:J,MATCH(1,(ACT!H:H=CM9)*(ACT!I:I=CM13),0))="", "-",
INDEX(ACT!J:J,MATCH(1,(ACT!H:H=CM9)*(ACT!I:I=CM13),0))), "-"
)</f>
        <v>-</v>
      </c>
      <c r="CQ11" s="164"/>
      <c r="CR11" s="98"/>
      <c r="CT11" s="2"/>
    </row>
    <row r="12" spans="1:98" ht="16.5" customHeight="1">
      <c r="A12" s="185"/>
      <c r="B12" s="186"/>
      <c r="C12" s="186"/>
      <c r="D12" s="187"/>
      <c r="E12" s="167">
        <v>5</v>
      </c>
      <c r="F12" s="168"/>
      <c r="G12" s="6" t="s">
        <v>18</v>
      </c>
      <c r="H12" s="148" t="s">
        <v>24</v>
      </c>
      <c r="I12" s="148"/>
      <c r="J12" s="148"/>
      <c r="K12" s="148"/>
      <c r="L12" s="148"/>
      <c r="M12" s="148"/>
      <c r="N12" s="148"/>
      <c r="O12" s="148"/>
      <c r="P12" s="150"/>
      <c r="Q12" s="165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  <c r="AD12" s="165"/>
      <c r="AE12" s="165"/>
      <c r="AF12" s="165"/>
      <c r="AG12" s="165"/>
      <c r="AH12" s="165"/>
      <c r="AI12" s="165"/>
      <c r="AJ12" s="165"/>
      <c r="AK12" s="165"/>
      <c r="AL12" s="165"/>
      <c r="AM12" s="165"/>
      <c r="AN12" s="165"/>
      <c r="AO12" s="165"/>
      <c r="AP12" s="165"/>
      <c r="AQ12" s="165"/>
      <c r="AR12" s="165"/>
      <c r="AS12" s="165"/>
      <c r="AT12" s="185"/>
      <c r="AU12" s="186"/>
      <c r="AV12" s="186"/>
      <c r="AW12" s="187"/>
      <c r="AX12" s="170">
        <v>50</v>
      </c>
      <c r="AY12" s="171"/>
      <c r="AZ12" s="6"/>
      <c r="BA12" s="148" t="s">
        <v>25</v>
      </c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50"/>
      <c r="BQ12" s="180" t="str">
        <f t="shared" si="0"/>
        <v>-</v>
      </c>
      <c r="BR12" s="180"/>
      <c r="BS12" s="180"/>
      <c r="BT12" s="180"/>
      <c r="BU12" s="180"/>
      <c r="BV12" s="180"/>
      <c r="BW12" s="180"/>
      <c r="BX12" s="180"/>
      <c r="BY12" s="180"/>
      <c r="BZ12" s="180"/>
      <c r="CA12" s="180"/>
      <c r="CB12" s="180"/>
      <c r="CC12" s="180"/>
      <c r="CD12" s="180"/>
      <c r="CE12" s="180"/>
      <c r="CF12" s="180"/>
      <c r="CG12" s="180"/>
      <c r="CH12" s="180"/>
      <c r="CI12" s="180"/>
      <c r="CJ12" s="181"/>
      <c r="CL12" s="94"/>
      <c r="CM12" s="87" t="s">
        <v>549</v>
      </c>
      <c r="CO12" s="82" t="s">
        <v>474</v>
      </c>
      <c r="CP12" s="178" t="str">
        <f>IFERROR(
IF(INDEX(ACT!D:D, MATCH(CM11,ACT!B:B, 0))="", "-",
INDEX(ACT!D:D, MATCH(CM11,ACT!B:B, 0))), "-"
)</f>
        <v>-</v>
      </c>
      <c r="CQ12" s="179"/>
      <c r="CR12" s="98"/>
      <c r="CT12" s="2"/>
    </row>
    <row r="13" spans="1:98" ht="17.5" thickBot="1">
      <c r="A13" s="185"/>
      <c r="B13" s="186"/>
      <c r="C13" s="186"/>
      <c r="D13" s="187"/>
      <c r="E13" s="167">
        <v>6</v>
      </c>
      <c r="F13" s="168"/>
      <c r="G13" s="6" t="s">
        <v>10</v>
      </c>
      <c r="H13" s="148" t="s">
        <v>27</v>
      </c>
      <c r="I13" s="148"/>
      <c r="J13" s="148"/>
      <c r="K13" s="148"/>
      <c r="L13" s="148"/>
      <c r="M13" s="148"/>
      <c r="N13" s="148"/>
      <c r="O13" s="148"/>
      <c r="P13" s="150"/>
      <c r="Q13" s="165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  <c r="AD13" s="165"/>
      <c r="AE13" s="165"/>
      <c r="AF13" s="165"/>
      <c r="AG13" s="165"/>
      <c r="AH13" s="165"/>
      <c r="AI13" s="165"/>
      <c r="AJ13" s="165"/>
      <c r="AK13" s="165"/>
      <c r="AL13" s="165"/>
      <c r="AM13" s="165"/>
      <c r="AN13" s="165"/>
      <c r="AO13" s="165"/>
      <c r="AP13" s="165"/>
      <c r="AQ13" s="165"/>
      <c r="AR13" s="165"/>
      <c r="AS13" s="165"/>
      <c r="AT13" s="188"/>
      <c r="AU13" s="189"/>
      <c r="AV13" s="189"/>
      <c r="AW13" s="190"/>
      <c r="AX13" s="172">
        <v>51</v>
      </c>
      <c r="AY13" s="173"/>
      <c r="AZ13" s="9" t="s">
        <v>10</v>
      </c>
      <c r="BA13" s="153" t="s">
        <v>28</v>
      </c>
      <c r="BB13" s="153"/>
      <c r="BC13" s="153"/>
      <c r="BD13" s="153"/>
      <c r="BE13" s="153"/>
      <c r="BF13" s="153"/>
      <c r="BG13" s="153"/>
      <c r="BH13" s="153"/>
      <c r="BI13" s="153"/>
      <c r="BJ13" s="153"/>
      <c r="BK13" s="153"/>
      <c r="BL13" s="153"/>
      <c r="BM13" s="153"/>
      <c r="BN13" s="153"/>
      <c r="BO13" s="153"/>
      <c r="BP13" s="154"/>
      <c r="BQ13" s="174" t="str">
        <f t="shared" si="0"/>
        <v>-</v>
      </c>
      <c r="BR13" s="174"/>
      <c r="BS13" s="174"/>
      <c r="BT13" s="174"/>
      <c r="BU13" s="174"/>
      <c r="BV13" s="174"/>
      <c r="BW13" s="174"/>
      <c r="BX13" s="174"/>
      <c r="BY13" s="174"/>
      <c r="BZ13" s="174"/>
      <c r="CA13" s="174"/>
      <c r="CB13" s="174"/>
      <c r="CC13" s="174"/>
      <c r="CD13" s="174"/>
      <c r="CE13" s="174"/>
      <c r="CF13" s="174"/>
      <c r="CG13" s="174"/>
      <c r="CH13" s="174"/>
      <c r="CI13" s="174"/>
      <c r="CJ13" s="175"/>
      <c r="CL13" s="94"/>
      <c r="CM13" s="89"/>
      <c r="CO13" s="83" t="s">
        <v>475</v>
      </c>
      <c r="CP13" s="176" t="str">
        <f>IFERROR(
IF(INDEX(ACT!E:E, MATCH(CM11,ACT!B:B, 0))="", "-",
INDEX(ACT!E:E, MATCH(CM11,ACT!B:B, 0))), "-"
)</f>
        <v>-</v>
      </c>
      <c r="CQ13" s="177"/>
      <c r="CR13" s="98"/>
      <c r="CT13" s="2"/>
    </row>
    <row r="14" spans="1:98">
      <c r="A14" s="185"/>
      <c r="B14" s="186"/>
      <c r="C14" s="186"/>
      <c r="D14" s="187"/>
      <c r="E14" s="167">
        <v>7</v>
      </c>
      <c r="F14" s="168"/>
      <c r="G14" s="6" t="s">
        <v>18</v>
      </c>
      <c r="H14" s="148" t="s">
        <v>29</v>
      </c>
      <c r="I14" s="148"/>
      <c r="J14" s="148"/>
      <c r="K14" s="148"/>
      <c r="L14" s="148"/>
      <c r="M14" s="148"/>
      <c r="N14" s="148"/>
      <c r="O14" s="148"/>
      <c r="P14" s="150"/>
      <c r="Q14" s="165"/>
      <c r="R14" s="165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  <c r="AD14" s="165"/>
      <c r="AE14" s="165"/>
      <c r="AF14" s="165"/>
      <c r="AG14" s="165"/>
      <c r="AH14" s="165"/>
      <c r="AI14" s="165"/>
      <c r="AJ14" s="165"/>
      <c r="AK14" s="165"/>
      <c r="AL14" s="165"/>
      <c r="AM14" s="165"/>
      <c r="AN14" s="165"/>
      <c r="AO14" s="165"/>
      <c r="AP14" s="165"/>
      <c r="AQ14" s="165"/>
      <c r="AR14" s="165"/>
      <c r="AS14" s="165"/>
      <c r="AT14" s="209" t="s">
        <v>30</v>
      </c>
      <c r="AU14" s="210"/>
      <c r="AV14" s="210"/>
      <c r="AW14" s="211"/>
      <c r="AX14" s="215">
        <v>52</v>
      </c>
      <c r="AY14" s="216"/>
      <c r="AZ14" s="19" t="s">
        <v>10</v>
      </c>
      <c r="BA14" s="217" t="s">
        <v>31</v>
      </c>
      <c r="BB14" s="217"/>
      <c r="BC14" s="217"/>
      <c r="BD14" s="217"/>
      <c r="BE14" s="217"/>
      <c r="BF14" s="217"/>
      <c r="BG14" s="217"/>
      <c r="BH14" s="217"/>
      <c r="BI14" s="217"/>
      <c r="BJ14" s="217"/>
      <c r="BK14" s="217"/>
      <c r="BL14" s="217"/>
      <c r="BM14" s="217"/>
      <c r="BN14" s="217"/>
      <c r="BO14" s="217"/>
      <c r="BP14" s="218"/>
      <c r="BQ14" s="207" t="str">
        <f t="shared" si="0"/>
        <v>-</v>
      </c>
      <c r="BR14" s="207"/>
      <c r="BS14" s="207"/>
      <c r="BT14" s="207"/>
      <c r="BU14" s="207"/>
      <c r="BV14" s="207"/>
      <c r="BW14" s="207"/>
      <c r="BX14" s="207"/>
      <c r="BY14" s="207"/>
      <c r="BZ14" s="207"/>
      <c r="CA14" s="207"/>
      <c r="CB14" s="207"/>
      <c r="CC14" s="207"/>
      <c r="CD14" s="207"/>
      <c r="CE14" s="207"/>
      <c r="CF14" s="207"/>
      <c r="CG14" s="207"/>
      <c r="CH14" s="207"/>
      <c r="CI14" s="207"/>
      <c r="CJ14" s="208"/>
      <c r="CL14" s="94"/>
      <c r="CM14" s="87" t="s">
        <v>460</v>
      </c>
      <c r="CO14" s="81" t="s">
        <v>476</v>
      </c>
      <c r="CP14" s="205" t="str">
        <f>IFERROR(
IF(INDEX(ACT!O:O, MATCH(CM15,ACT!N:N, 0))="", "-",
INDEX(ACT!O:O, MATCH(CM15,ACT!N:N, 0))), "-"
)</f>
        <v>-</v>
      </c>
      <c r="CQ14" s="206"/>
      <c r="CR14" s="98"/>
      <c r="CT14" s="2"/>
    </row>
    <row r="15" spans="1:98">
      <c r="A15" s="185"/>
      <c r="B15" s="186"/>
      <c r="C15" s="186"/>
      <c r="D15" s="187"/>
      <c r="E15" s="167">
        <v>8</v>
      </c>
      <c r="F15" s="168"/>
      <c r="G15" s="6" t="s">
        <v>32</v>
      </c>
      <c r="H15" s="148" t="s">
        <v>33</v>
      </c>
      <c r="I15" s="148"/>
      <c r="J15" s="148"/>
      <c r="K15" s="148"/>
      <c r="L15" s="148"/>
      <c r="M15" s="148"/>
      <c r="N15" s="148"/>
      <c r="O15" s="148"/>
      <c r="P15" s="150"/>
      <c r="Q15" s="165" t="s">
        <v>34</v>
      </c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  <c r="AD15" s="165"/>
      <c r="AE15" s="165"/>
      <c r="AF15" s="165"/>
      <c r="AG15" s="165"/>
      <c r="AH15" s="165"/>
      <c r="AI15" s="165"/>
      <c r="AJ15" s="165"/>
      <c r="AK15" s="165"/>
      <c r="AL15" s="165"/>
      <c r="AM15" s="165"/>
      <c r="AN15" s="165"/>
      <c r="AO15" s="165"/>
      <c r="AP15" s="165"/>
      <c r="AQ15" s="165"/>
      <c r="AR15" s="165"/>
      <c r="AS15" s="166"/>
      <c r="AT15" s="209"/>
      <c r="AU15" s="210"/>
      <c r="AV15" s="210"/>
      <c r="AW15" s="211"/>
      <c r="AX15" s="170">
        <v>53</v>
      </c>
      <c r="AY15" s="171"/>
      <c r="AZ15" s="20"/>
      <c r="BA15" s="148" t="s">
        <v>25</v>
      </c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50"/>
      <c r="BQ15" s="180" t="str">
        <f t="shared" si="0"/>
        <v>-</v>
      </c>
      <c r="BR15" s="180"/>
      <c r="BS15" s="180"/>
      <c r="BT15" s="180"/>
      <c r="BU15" s="180"/>
      <c r="BV15" s="180"/>
      <c r="BW15" s="180"/>
      <c r="BX15" s="180"/>
      <c r="BY15" s="180"/>
      <c r="BZ15" s="180"/>
      <c r="CA15" s="180"/>
      <c r="CB15" s="180"/>
      <c r="CC15" s="180"/>
      <c r="CD15" s="180"/>
      <c r="CE15" s="180"/>
      <c r="CF15" s="180"/>
      <c r="CG15" s="180"/>
      <c r="CH15" s="180"/>
      <c r="CI15" s="180"/>
      <c r="CJ15" s="181"/>
      <c r="CL15" s="94"/>
      <c r="CM15" s="117"/>
      <c r="CN15" s="35"/>
      <c r="CO15" s="82" t="s">
        <v>477</v>
      </c>
      <c r="CP15" s="203" t="str">
        <f>IFERROR(
IF(INDEX(ACT!P:P, MATCH(CM15,ACT!N:N, 0))="", "-",
INDEX(ACT!P:P, MATCH(CM15,ACT!N:N, 0))), "-"
)</f>
        <v>-</v>
      </c>
      <c r="CQ15" s="204"/>
      <c r="CR15" s="98"/>
      <c r="CT15" s="2"/>
    </row>
    <row r="16" spans="1:98" ht="17.5" thickBot="1">
      <c r="A16" s="185"/>
      <c r="B16" s="186"/>
      <c r="C16" s="186"/>
      <c r="D16" s="187"/>
      <c r="E16" s="167">
        <v>9</v>
      </c>
      <c r="F16" s="168"/>
      <c r="G16" s="18" t="s">
        <v>10</v>
      </c>
      <c r="H16" s="148" t="s">
        <v>35</v>
      </c>
      <c r="I16" s="148"/>
      <c r="J16" s="148"/>
      <c r="K16" s="148"/>
      <c r="L16" s="148"/>
      <c r="M16" s="148"/>
      <c r="N16" s="148"/>
      <c r="O16" s="148"/>
      <c r="P16" s="150"/>
      <c r="Q16" s="165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  <c r="AD16" s="165"/>
      <c r="AE16" s="165"/>
      <c r="AF16" s="165"/>
      <c r="AG16" s="165"/>
      <c r="AH16" s="165"/>
      <c r="AI16" s="165"/>
      <c r="AJ16" s="165"/>
      <c r="AK16" s="165"/>
      <c r="AL16" s="165"/>
      <c r="AM16" s="165"/>
      <c r="AN16" s="165"/>
      <c r="AO16" s="165"/>
      <c r="AP16" s="165"/>
      <c r="AQ16" s="165"/>
      <c r="AR16" s="165"/>
      <c r="AS16" s="165"/>
      <c r="AT16" s="212"/>
      <c r="AU16" s="213"/>
      <c r="AV16" s="213"/>
      <c r="AW16" s="214"/>
      <c r="AX16" s="172">
        <v>54</v>
      </c>
      <c r="AY16" s="173"/>
      <c r="AZ16" s="9" t="s">
        <v>10</v>
      </c>
      <c r="BA16" s="153" t="s">
        <v>28</v>
      </c>
      <c r="BB16" s="153"/>
      <c r="BC16" s="153"/>
      <c r="BD16" s="153"/>
      <c r="BE16" s="153"/>
      <c r="BF16" s="153"/>
      <c r="BG16" s="153"/>
      <c r="BH16" s="153"/>
      <c r="BI16" s="153"/>
      <c r="BJ16" s="153"/>
      <c r="BK16" s="153"/>
      <c r="BL16" s="153"/>
      <c r="BM16" s="153"/>
      <c r="BN16" s="153"/>
      <c r="BO16" s="153"/>
      <c r="BP16" s="154"/>
      <c r="BQ16" s="174" t="str">
        <f t="shared" si="0"/>
        <v>-</v>
      </c>
      <c r="BR16" s="174"/>
      <c r="BS16" s="174"/>
      <c r="BT16" s="174"/>
      <c r="BU16" s="174"/>
      <c r="BV16" s="174"/>
      <c r="BW16" s="174"/>
      <c r="BX16" s="174"/>
      <c r="BY16" s="174"/>
      <c r="BZ16" s="174"/>
      <c r="CA16" s="174"/>
      <c r="CB16" s="174"/>
      <c r="CC16" s="174"/>
      <c r="CD16" s="174"/>
      <c r="CE16" s="174"/>
      <c r="CF16" s="174"/>
      <c r="CG16" s="174"/>
      <c r="CH16" s="174"/>
      <c r="CI16" s="174"/>
      <c r="CJ16" s="175"/>
      <c r="CL16" s="94"/>
      <c r="CM16" s="35"/>
      <c r="CN16" s="35"/>
      <c r="CO16" s="83" t="s">
        <v>478</v>
      </c>
      <c r="CP16" s="219" t="str">
        <f>IFERROR(
IF(INDEX(ACT!Q:Q, MATCH(CM15,ACT!N:N, 0))="", "-",
INDEX(ACT!Q:Q, MATCH(CM15,ACT!N:N, 0))), "-"
)</f>
        <v>-</v>
      </c>
      <c r="CQ16" s="220"/>
      <c r="CR16" s="98"/>
    </row>
    <row r="17" spans="1:96">
      <c r="A17" s="185"/>
      <c r="B17" s="186"/>
      <c r="C17" s="186"/>
      <c r="D17" s="187"/>
      <c r="E17" s="167">
        <v>10</v>
      </c>
      <c r="F17" s="168"/>
      <c r="G17" s="6" t="s">
        <v>18</v>
      </c>
      <c r="H17" s="148" t="s">
        <v>36</v>
      </c>
      <c r="I17" s="148"/>
      <c r="J17" s="148"/>
      <c r="K17" s="148"/>
      <c r="L17" s="148"/>
      <c r="M17" s="148"/>
      <c r="N17" s="148"/>
      <c r="O17" s="148"/>
      <c r="P17" s="150"/>
      <c r="Q17" s="165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  <c r="AD17" s="165"/>
      <c r="AE17" s="165"/>
      <c r="AF17" s="165"/>
      <c r="AG17" s="165"/>
      <c r="AH17" s="165"/>
      <c r="AI17" s="165"/>
      <c r="AJ17" s="165"/>
      <c r="AK17" s="165"/>
      <c r="AL17" s="165"/>
      <c r="AM17" s="165"/>
      <c r="AN17" s="165"/>
      <c r="AO17" s="165"/>
      <c r="AP17" s="165"/>
      <c r="AQ17" s="165"/>
      <c r="AR17" s="165"/>
      <c r="AS17" s="165"/>
      <c r="AT17" s="255" t="s">
        <v>37</v>
      </c>
      <c r="AU17" s="186"/>
      <c r="AV17" s="186"/>
      <c r="AW17" s="187"/>
      <c r="AX17" s="215">
        <v>55</v>
      </c>
      <c r="AY17" s="216"/>
      <c r="AZ17" s="19" t="s">
        <v>10</v>
      </c>
      <c r="BA17" s="217" t="s">
        <v>38</v>
      </c>
      <c r="BB17" s="217"/>
      <c r="BC17" s="217"/>
      <c r="BD17" s="217"/>
      <c r="BE17" s="217"/>
      <c r="BF17" s="217"/>
      <c r="BG17" s="217"/>
      <c r="BH17" s="217"/>
      <c r="BI17" s="217"/>
      <c r="BJ17" s="217"/>
      <c r="BK17" s="217"/>
      <c r="BL17" s="217"/>
      <c r="BM17" s="217"/>
      <c r="BN17" s="217"/>
      <c r="BO17" s="217"/>
      <c r="BP17" s="218"/>
      <c r="BQ17" s="207" t="str">
        <f t="shared" ref="BQ17" si="1">CP17</f>
        <v>-</v>
      </c>
      <c r="BR17" s="207"/>
      <c r="BS17" s="207"/>
      <c r="BT17" s="207"/>
      <c r="BU17" s="207"/>
      <c r="BV17" s="207"/>
      <c r="BW17" s="207"/>
      <c r="BX17" s="207"/>
      <c r="BY17" s="207"/>
      <c r="BZ17" s="207"/>
      <c r="CA17" s="207"/>
      <c r="CB17" s="207"/>
      <c r="CC17" s="207"/>
      <c r="CD17" s="207"/>
      <c r="CE17" s="207"/>
      <c r="CF17" s="207"/>
      <c r="CG17" s="207"/>
      <c r="CH17" s="207"/>
      <c r="CI17" s="207"/>
      <c r="CJ17" s="208"/>
      <c r="CL17" s="94"/>
      <c r="CM17" s="87" t="s">
        <v>437</v>
      </c>
      <c r="CO17" s="81" t="s">
        <v>467</v>
      </c>
      <c r="CP17" s="223" t="str">
        <f>IFERROR(
  IF(INDEX(ACC!B:B, MATCH(CM18, ACC!A:A, 0)) = "",
     "-",
     INDEX(ACC!B:B, MATCH(CM18, ACC!A:A, 0))),
  "-"
)</f>
        <v>-</v>
      </c>
      <c r="CQ17" s="224"/>
      <c r="CR17" s="98"/>
    </row>
    <row r="18" spans="1:96">
      <c r="A18" s="185"/>
      <c r="B18" s="186"/>
      <c r="C18" s="186"/>
      <c r="D18" s="187"/>
      <c r="E18" s="167">
        <v>11</v>
      </c>
      <c r="F18" s="168"/>
      <c r="G18" s="6" t="s">
        <v>10</v>
      </c>
      <c r="H18" s="148" t="s">
        <v>39</v>
      </c>
      <c r="I18" s="148"/>
      <c r="J18" s="148"/>
      <c r="K18" s="148"/>
      <c r="L18" s="148"/>
      <c r="M18" s="148"/>
      <c r="N18" s="148"/>
      <c r="O18" s="148"/>
      <c r="P18" s="150"/>
      <c r="Q18" s="165" t="s">
        <v>40</v>
      </c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  <c r="AF18" s="165"/>
      <c r="AG18" s="165"/>
      <c r="AH18" s="165"/>
      <c r="AI18" s="165"/>
      <c r="AJ18" s="165"/>
      <c r="AK18" s="165"/>
      <c r="AL18" s="165"/>
      <c r="AM18" s="165"/>
      <c r="AN18" s="165"/>
      <c r="AO18" s="165"/>
      <c r="AP18" s="165"/>
      <c r="AQ18" s="165"/>
      <c r="AR18" s="165"/>
      <c r="AS18" s="166"/>
      <c r="AT18" s="185"/>
      <c r="AU18" s="186"/>
      <c r="AV18" s="186"/>
      <c r="AW18" s="187"/>
      <c r="AX18" s="170">
        <v>56</v>
      </c>
      <c r="AY18" s="171"/>
      <c r="AZ18" s="6" t="s">
        <v>10</v>
      </c>
      <c r="BA18" s="148" t="s">
        <v>41</v>
      </c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50"/>
      <c r="BQ18" s="180" t="str">
        <f t="shared" ref="BQ18:BQ37" si="2">IF(CP18="", "-", CP18)</f>
        <v>-</v>
      </c>
      <c r="BR18" s="180"/>
      <c r="BS18" s="180"/>
      <c r="BT18" s="180"/>
      <c r="BU18" s="180"/>
      <c r="BV18" s="180"/>
      <c r="BW18" s="180"/>
      <c r="BX18" s="180"/>
      <c r="BY18" s="180"/>
      <c r="BZ18" s="180"/>
      <c r="CA18" s="180"/>
      <c r="CB18" s="180"/>
      <c r="CC18" s="180"/>
      <c r="CD18" s="180"/>
      <c r="CE18" s="180"/>
      <c r="CF18" s="180"/>
      <c r="CG18" s="180"/>
      <c r="CH18" s="180"/>
      <c r="CI18" s="180"/>
      <c r="CJ18" s="181"/>
      <c r="CL18" s="94"/>
      <c r="CM18" s="70"/>
      <c r="CO18" s="82" t="s">
        <v>220</v>
      </c>
      <c r="CP18" s="221" t="str">
        <f>IFERROR(
  IF(INDEX(ACC!C:C, MATCH(CM18, ACC!A:A, 0)) = "",
     "-",
     INDEX(ACC!C:C, MATCH(CM18, ACC!A:A, 0))),
  "-"
)</f>
        <v>-</v>
      </c>
      <c r="CQ18" s="222"/>
      <c r="CR18" s="98"/>
    </row>
    <row r="19" spans="1:96">
      <c r="A19" s="185"/>
      <c r="B19" s="186"/>
      <c r="C19" s="186"/>
      <c r="D19" s="187"/>
      <c r="E19" s="167">
        <v>12</v>
      </c>
      <c r="F19" s="168"/>
      <c r="G19" s="6" t="s">
        <v>18</v>
      </c>
      <c r="H19" s="148" t="s">
        <v>42</v>
      </c>
      <c r="I19" s="148"/>
      <c r="J19" s="148"/>
      <c r="K19" s="148"/>
      <c r="L19" s="148"/>
      <c r="M19" s="148"/>
      <c r="N19" s="148"/>
      <c r="O19" s="148"/>
      <c r="P19" s="150"/>
      <c r="Q19" s="165" t="s">
        <v>43</v>
      </c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85"/>
      <c r="AU19" s="186"/>
      <c r="AV19" s="186"/>
      <c r="AW19" s="187"/>
      <c r="AX19" s="170">
        <v>57</v>
      </c>
      <c r="AY19" s="171"/>
      <c r="AZ19" s="6" t="s">
        <v>10</v>
      </c>
      <c r="BA19" s="148" t="s">
        <v>44</v>
      </c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50"/>
      <c r="BQ19" s="180" t="str">
        <f t="shared" si="2"/>
        <v>-</v>
      </c>
      <c r="BR19" s="180"/>
      <c r="BS19" s="180"/>
      <c r="BT19" s="180"/>
      <c r="BU19" s="180"/>
      <c r="BV19" s="180"/>
      <c r="BW19" s="180"/>
      <c r="BX19" s="180"/>
      <c r="BY19" s="180"/>
      <c r="BZ19" s="180"/>
      <c r="CA19" s="180"/>
      <c r="CB19" s="180"/>
      <c r="CC19" s="180"/>
      <c r="CD19" s="180"/>
      <c r="CE19" s="180"/>
      <c r="CF19" s="180"/>
      <c r="CG19" s="180"/>
      <c r="CH19" s="180"/>
      <c r="CI19" s="180"/>
      <c r="CJ19" s="181"/>
      <c r="CL19" s="94"/>
      <c r="CM19" s="35"/>
      <c r="CO19" s="82" t="s">
        <v>219</v>
      </c>
      <c r="CP19" s="221" t="str">
        <f>IFERROR(
  IF(INDEX(ACC!D:D, MATCH(CM18, ACC!A:A, 0)) = "",
     "-",
     INDEX(ACC!D:D, MATCH(CM18, ACC!A:A, 0))),
  "-"
)</f>
        <v>-</v>
      </c>
      <c r="CQ19" s="222"/>
      <c r="CR19" s="98"/>
    </row>
    <row r="20" spans="1:96" ht="17.5" thickBot="1">
      <c r="A20" s="185"/>
      <c r="B20" s="186"/>
      <c r="C20" s="186"/>
      <c r="D20" s="187"/>
      <c r="E20" s="167">
        <v>13</v>
      </c>
      <c r="F20" s="168"/>
      <c r="G20" s="6" t="s">
        <v>18</v>
      </c>
      <c r="H20" s="148" t="s">
        <v>45</v>
      </c>
      <c r="I20" s="148"/>
      <c r="J20" s="148"/>
      <c r="K20" s="148"/>
      <c r="L20" s="148"/>
      <c r="M20" s="148"/>
      <c r="N20" s="148"/>
      <c r="O20" s="148"/>
      <c r="P20" s="150"/>
      <c r="Q20" s="225"/>
      <c r="R20" s="225"/>
      <c r="S20" s="225"/>
      <c r="T20" s="225"/>
      <c r="U20" s="22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88"/>
      <c r="AU20" s="189"/>
      <c r="AV20" s="189"/>
      <c r="AW20" s="190"/>
      <c r="AX20" s="172">
        <v>58</v>
      </c>
      <c r="AY20" s="173"/>
      <c r="AZ20" s="9" t="s">
        <v>10</v>
      </c>
      <c r="BA20" s="153" t="s">
        <v>17</v>
      </c>
      <c r="BB20" s="153"/>
      <c r="BC20" s="153"/>
      <c r="BD20" s="153"/>
      <c r="BE20" s="153"/>
      <c r="BF20" s="153"/>
      <c r="BG20" s="153"/>
      <c r="BH20" s="22" t="s">
        <v>10</v>
      </c>
      <c r="BI20" s="153" t="s">
        <v>46</v>
      </c>
      <c r="BJ20" s="153"/>
      <c r="BK20" s="153"/>
      <c r="BL20" s="153"/>
      <c r="BM20" s="153"/>
      <c r="BN20" s="153"/>
      <c r="BO20" s="153"/>
      <c r="BP20" s="154"/>
      <c r="BQ20" s="165" t="str">
        <f t="shared" si="2"/>
        <v>-</v>
      </c>
      <c r="BR20" s="165"/>
      <c r="BS20" s="165"/>
      <c r="BT20" s="165"/>
      <c r="BU20" s="165"/>
      <c r="BV20" s="165"/>
      <c r="BW20" s="165"/>
      <c r="BX20" s="165"/>
      <c r="BY20" s="165"/>
      <c r="BZ20" s="165"/>
      <c r="CA20" s="165" t="str">
        <f>IF(CQ20="", "-", CQ20)</f>
        <v>-</v>
      </c>
      <c r="CB20" s="165"/>
      <c r="CC20" s="165"/>
      <c r="CD20" s="165"/>
      <c r="CE20" s="165"/>
      <c r="CF20" s="165"/>
      <c r="CG20" s="165"/>
      <c r="CH20" s="165"/>
      <c r="CI20" s="165"/>
      <c r="CJ20" s="166"/>
      <c r="CL20" s="94"/>
      <c r="CM20" s="35"/>
      <c r="CO20" s="83" t="s">
        <v>479</v>
      </c>
      <c r="CP20" s="74" t="str">
        <f>IFERROR(
  IF(INDEX(ACC!E:E, MATCH(CM18, ACC!A:A, 0)) = "",
     "-",
     INDEX(ACC!E:E, MATCH(CM18, ACC!A:A, 0))),
  "-"
)</f>
        <v>-</v>
      </c>
      <c r="CQ20" s="75" t="str">
        <f>IFERROR(
  IF(INDEX(ACC!F:F, MATCH(CM18, ACC!A:A, 0)) = "",
     "-",
     INDEX(ACC!F:F, MATCH(CM18, ACC!A:A, 0))),
  "-"
)</f>
        <v>-</v>
      </c>
      <c r="CR20" s="98"/>
    </row>
    <row r="21" spans="1:96">
      <c r="A21" s="185"/>
      <c r="B21" s="186"/>
      <c r="C21" s="186"/>
      <c r="D21" s="187"/>
      <c r="E21" s="167">
        <v>14</v>
      </c>
      <c r="F21" s="168"/>
      <c r="G21" s="6" t="s">
        <v>18</v>
      </c>
      <c r="H21" s="148" t="s">
        <v>47</v>
      </c>
      <c r="I21" s="148"/>
      <c r="J21" s="148"/>
      <c r="K21" s="148"/>
      <c r="L21" s="148"/>
      <c r="M21" s="148"/>
      <c r="N21" s="148"/>
      <c r="O21" s="148"/>
      <c r="P21" s="150"/>
      <c r="Q21" s="165" t="s">
        <v>48</v>
      </c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5"/>
      <c r="AM21" s="165"/>
      <c r="AN21" s="165"/>
      <c r="AO21" s="165"/>
      <c r="AP21" s="165"/>
      <c r="AQ21" s="165"/>
      <c r="AR21" s="165"/>
      <c r="AS21" s="165"/>
      <c r="AT21" s="226" t="s">
        <v>49</v>
      </c>
      <c r="AU21" s="227"/>
      <c r="AV21" s="227"/>
      <c r="AW21" s="228"/>
      <c r="AX21" s="215">
        <v>59</v>
      </c>
      <c r="AY21" s="216"/>
      <c r="AZ21" s="19" t="s">
        <v>10</v>
      </c>
      <c r="BA21" s="217" t="s">
        <v>50</v>
      </c>
      <c r="BB21" s="217"/>
      <c r="BC21" s="217"/>
      <c r="BD21" s="217"/>
      <c r="BE21" s="217"/>
      <c r="BF21" s="217"/>
      <c r="BG21" s="217"/>
      <c r="BH21" s="217"/>
      <c r="BI21" s="217"/>
      <c r="BJ21" s="217"/>
      <c r="BK21" s="217"/>
      <c r="BL21" s="217"/>
      <c r="BM21" s="217"/>
      <c r="BN21" s="217"/>
      <c r="BO21" s="217"/>
      <c r="BP21" s="218"/>
      <c r="BQ21" s="207" t="str">
        <f t="shared" si="2"/>
        <v>-</v>
      </c>
      <c r="BR21" s="207"/>
      <c r="BS21" s="207"/>
      <c r="BT21" s="207"/>
      <c r="BU21" s="207"/>
      <c r="BV21" s="207"/>
      <c r="BW21" s="207"/>
      <c r="BX21" s="207"/>
      <c r="BY21" s="207"/>
      <c r="BZ21" s="207"/>
      <c r="CA21" s="207"/>
      <c r="CB21" s="207"/>
      <c r="CC21" s="207"/>
      <c r="CD21" s="207"/>
      <c r="CE21" s="207"/>
      <c r="CF21" s="207"/>
      <c r="CG21" s="207"/>
      <c r="CH21" s="207"/>
      <c r="CI21" s="207"/>
      <c r="CJ21" s="208"/>
      <c r="CL21" s="94"/>
      <c r="CM21" s="35"/>
      <c r="CO21" s="81" t="s">
        <v>468</v>
      </c>
      <c r="CP21" s="223" t="str">
        <f>IFERROR(
  IF(INDEX(ACC!G:G, MATCH(CM18, ACC!A:A, 0)) = "",
     "-",
     INDEX(ACC!G:G, MATCH(CM18, ACC!A:A, 0))),
  "-"
)</f>
        <v>-</v>
      </c>
      <c r="CQ21" s="224"/>
      <c r="CR21" s="98"/>
    </row>
    <row r="22" spans="1:96" ht="17.5" thickBot="1">
      <c r="A22" s="185"/>
      <c r="B22" s="186"/>
      <c r="C22" s="186"/>
      <c r="D22" s="187"/>
      <c r="E22" s="167">
        <v>15</v>
      </c>
      <c r="F22" s="168"/>
      <c r="G22" s="6"/>
      <c r="H22" s="148"/>
      <c r="I22" s="148"/>
      <c r="J22" s="148"/>
      <c r="K22" s="148"/>
      <c r="L22" s="148"/>
      <c r="M22" s="148"/>
      <c r="N22" s="148"/>
      <c r="O22" s="148"/>
      <c r="P22" s="150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  <c r="AO22" s="165"/>
      <c r="AP22" s="165"/>
      <c r="AQ22" s="165"/>
      <c r="AR22" s="165"/>
      <c r="AS22" s="166"/>
      <c r="AT22" s="229"/>
      <c r="AU22" s="230"/>
      <c r="AV22" s="230"/>
      <c r="AW22" s="231"/>
      <c r="AX22" s="172">
        <v>60</v>
      </c>
      <c r="AY22" s="173"/>
      <c r="AZ22" s="22" t="s">
        <v>10</v>
      </c>
      <c r="BA22" s="153" t="s">
        <v>41</v>
      </c>
      <c r="BB22" s="153"/>
      <c r="BC22" s="153"/>
      <c r="BD22" s="153"/>
      <c r="BE22" s="153"/>
      <c r="BF22" s="153"/>
      <c r="BG22" s="153"/>
      <c r="BH22" s="153"/>
      <c r="BI22" s="153"/>
      <c r="BJ22" s="153"/>
      <c r="BK22" s="153"/>
      <c r="BL22" s="153"/>
      <c r="BM22" s="153"/>
      <c r="BN22" s="153"/>
      <c r="BO22" s="153"/>
      <c r="BP22" s="154"/>
      <c r="BQ22" s="180" t="str">
        <f t="shared" si="2"/>
        <v>-</v>
      </c>
      <c r="BR22" s="180"/>
      <c r="BS22" s="180"/>
      <c r="BT22" s="180"/>
      <c r="BU22" s="180"/>
      <c r="BV22" s="180"/>
      <c r="BW22" s="180"/>
      <c r="BX22" s="180"/>
      <c r="BY22" s="180"/>
      <c r="BZ22" s="180"/>
      <c r="CA22" s="180"/>
      <c r="CB22" s="180"/>
      <c r="CC22" s="180"/>
      <c r="CD22" s="180"/>
      <c r="CE22" s="180"/>
      <c r="CF22" s="180"/>
      <c r="CG22" s="180"/>
      <c r="CH22" s="180"/>
      <c r="CI22" s="180"/>
      <c r="CJ22" s="181"/>
      <c r="CL22" s="94"/>
      <c r="CM22" s="35"/>
      <c r="CO22" s="83" t="s">
        <v>220</v>
      </c>
      <c r="CP22" s="232" t="str">
        <f>IFERROR(
  IF(INDEX(ACC!H:H, MATCH(CM18, ACC!A:A, 0)) = "",
     "-",
     INDEX(ACC!H:H, MATCH(CM18, ACC!A:A, 0))),
  "-"
)</f>
        <v>-</v>
      </c>
      <c r="CQ22" s="233"/>
      <c r="CR22" s="98"/>
    </row>
    <row r="23" spans="1:96" ht="17.5" thickBot="1">
      <c r="A23" s="188"/>
      <c r="B23" s="189"/>
      <c r="C23" s="189"/>
      <c r="D23" s="190"/>
      <c r="E23" s="245">
        <v>16</v>
      </c>
      <c r="F23" s="246"/>
      <c r="G23" s="9"/>
      <c r="H23" s="153"/>
      <c r="I23" s="153"/>
      <c r="J23" s="153"/>
      <c r="K23" s="153"/>
      <c r="L23" s="153"/>
      <c r="M23" s="153"/>
      <c r="N23" s="153"/>
      <c r="O23" s="153"/>
      <c r="P23" s="154"/>
      <c r="Q23" s="247"/>
      <c r="R23" s="247"/>
      <c r="S23" s="247"/>
      <c r="T23" s="247"/>
      <c r="U23" s="247"/>
      <c r="V23" s="247"/>
      <c r="W23" s="247"/>
      <c r="X23" s="247"/>
      <c r="Y23" s="247"/>
      <c r="Z23" s="247"/>
      <c r="AA23" s="247"/>
      <c r="AB23" s="247"/>
      <c r="AC23" s="247"/>
      <c r="AD23" s="247"/>
      <c r="AE23" s="247"/>
      <c r="AF23" s="247"/>
      <c r="AG23" s="247"/>
      <c r="AH23" s="247"/>
      <c r="AI23" s="247"/>
      <c r="AJ23" s="247"/>
      <c r="AK23" s="247"/>
      <c r="AL23" s="247"/>
      <c r="AM23" s="247"/>
      <c r="AN23" s="247"/>
      <c r="AO23" s="247"/>
      <c r="AP23" s="247"/>
      <c r="AQ23" s="247"/>
      <c r="AR23" s="247"/>
      <c r="AS23" s="248"/>
      <c r="AT23" s="261" t="s">
        <v>51</v>
      </c>
      <c r="AU23" s="262"/>
      <c r="AV23" s="262"/>
      <c r="AW23" s="263"/>
      <c r="AX23" s="215">
        <v>61</v>
      </c>
      <c r="AY23" s="216"/>
      <c r="AZ23" s="19" t="s">
        <v>10</v>
      </c>
      <c r="BA23" s="217" t="s">
        <v>52</v>
      </c>
      <c r="BB23" s="217"/>
      <c r="BC23" s="217"/>
      <c r="BD23" s="217"/>
      <c r="BE23" s="217"/>
      <c r="BF23" s="217"/>
      <c r="BG23" s="217"/>
      <c r="BH23" s="217"/>
      <c r="BI23" s="217"/>
      <c r="BJ23" s="217"/>
      <c r="BK23" s="217"/>
      <c r="BL23" s="217"/>
      <c r="BM23" s="217"/>
      <c r="BN23" s="217"/>
      <c r="BO23" s="217"/>
      <c r="BP23" s="218"/>
      <c r="BQ23" s="267" t="str">
        <f t="shared" si="2"/>
        <v>-</v>
      </c>
      <c r="BR23" s="267"/>
      <c r="BS23" s="267"/>
      <c r="BT23" s="267"/>
      <c r="BU23" s="267"/>
      <c r="BV23" s="267"/>
      <c r="BW23" s="267"/>
      <c r="BX23" s="267"/>
      <c r="BY23" s="267"/>
      <c r="BZ23" s="267"/>
      <c r="CA23" s="267"/>
      <c r="CB23" s="267"/>
      <c r="CC23" s="267"/>
      <c r="CD23" s="267"/>
      <c r="CE23" s="267"/>
      <c r="CF23" s="267"/>
      <c r="CG23" s="267"/>
      <c r="CH23" s="267"/>
      <c r="CI23" s="267"/>
      <c r="CJ23" s="268"/>
      <c r="CL23" s="94"/>
      <c r="CM23" s="87" t="s">
        <v>461</v>
      </c>
      <c r="CO23" s="81" t="s">
        <v>459</v>
      </c>
      <c r="CP23" s="269" t="str">
        <f>IFERROR(
  IF(INDEX(ACC!J:J, MATCH(CM24, ACC!I:I, 0)) = "",
     "-",
     INDEX(ACC!J:J, MATCH(CM24, ACC!I:I, 0))),
  "-"
)</f>
        <v>-</v>
      </c>
      <c r="CQ23" s="270"/>
      <c r="CR23" s="98"/>
    </row>
    <row r="24" spans="1:96" ht="17.5" thickBot="1">
      <c r="A24" s="182" t="s">
        <v>53</v>
      </c>
      <c r="B24" s="183"/>
      <c r="C24" s="183"/>
      <c r="D24" s="184"/>
      <c r="E24" s="234">
        <v>17</v>
      </c>
      <c r="F24" s="235"/>
      <c r="G24" s="23" t="s">
        <v>10</v>
      </c>
      <c r="H24" s="236" t="s">
        <v>54</v>
      </c>
      <c r="I24" s="236"/>
      <c r="J24" s="236"/>
      <c r="K24" s="236"/>
      <c r="L24" s="236"/>
      <c r="M24" s="236"/>
      <c r="N24" s="236"/>
      <c r="O24" s="236"/>
      <c r="P24" s="236"/>
      <c r="Q24" s="236"/>
      <c r="R24" s="236"/>
      <c r="S24" s="236"/>
      <c r="T24" s="237"/>
      <c r="U24" s="238"/>
      <c r="V24" s="239"/>
      <c r="W24" s="239"/>
      <c r="X24" s="240"/>
      <c r="Y24" s="241"/>
      <c r="Z24" s="242"/>
      <c r="AA24" s="242"/>
      <c r="AB24" s="242"/>
      <c r="AC24" s="242"/>
      <c r="AD24" s="242"/>
      <c r="AE24" s="242"/>
      <c r="AF24" s="242"/>
      <c r="AG24" s="242"/>
      <c r="AH24" s="242"/>
      <c r="AI24" s="242"/>
      <c r="AJ24" s="242"/>
      <c r="AK24" s="242"/>
      <c r="AL24" s="242"/>
      <c r="AM24" s="242"/>
      <c r="AN24" s="242"/>
      <c r="AO24" s="242"/>
      <c r="AP24" s="242"/>
      <c r="AQ24" s="242"/>
      <c r="AR24" s="242"/>
      <c r="AS24" s="243"/>
      <c r="AT24" s="264"/>
      <c r="AU24" s="265"/>
      <c r="AV24" s="265"/>
      <c r="AW24" s="266"/>
      <c r="AX24" s="172">
        <v>62</v>
      </c>
      <c r="AY24" s="244"/>
      <c r="AZ24" s="9" t="s">
        <v>10</v>
      </c>
      <c r="BA24" s="153" t="s">
        <v>17</v>
      </c>
      <c r="BB24" s="153"/>
      <c r="BC24" s="153"/>
      <c r="BD24" s="153"/>
      <c r="BE24" s="153"/>
      <c r="BF24" s="153"/>
      <c r="BG24" s="154"/>
      <c r="BH24" s="22" t="s">
        <v>10</v>
      </c>
      <c r="BI24" s="153" t="s">
        <v>46</v>
      </c>
      <c r="BJ24" s="153"/>
      <c r="BK24" s="153"/>
      <c r="BL24" s="153"/>
      <c r="BM24" s="153"/>
      <c r="BN24" s="153"/>
      <c r="BO24" s="153"/>
      <c r="BP24" s="154"/>
      <c r="BQ24" s="155" t="str">
        <f t="shared" si="2"/>
        <v>-</v>
      </c>
      <c r="BR24" s="156"/>
      <c r="BS24" s="156"/>
      <c r="BT24" s="156"/>
      <c r="BU24" s="156"/>
      <c r="BV24" s="156"/>
      <c r="BW24" s="156"/>
      <c r="BX24" s="156"/>
      <c r="BY24" s="156"/>
      <c r="BZ24" s="260"/>
      <c r="CA24" s="155" t="str">
        <f>IF(CQ24="", "-", CQ24)</f>
        <v>-</v>
      </c>
      <c r="CB24" s="156"/>
      <c r="CC24" s="156"/>
      <c r="CD24" s="156"/>
      <c r="CE24" s="156"/>
      <c r="CF24" s="156"/>
      <c r="CG24" s="156"/>
      <c r="CH24" s="156"/>
      <c r="CI24" s="156"/>
      <c r="CJ24" s="157"/>
      <c r="CL24" s="94"/>
      <c r="CM24" s="118"/>
      <c r="CO24" s="83" t="s">
        <v>479</v>
      </c>
      <c r="CP24" s="74" t="str">
        <f>IFERROR(
  IF(INDEX(ACC!K:K, MATCH(CM24, ACC!I:I, 0)) = "",
     "-",
     INDEX(ACC!K:K, MATCH(CM24, ACC!I:I, 0))),
  "-"
)</f>
        <v>-</v>
      </c>
      <c r="CQ24" s="75" t="str">
        <f>IFERROR(
  IF(INDEX(ACC!L:L, MATCH(CM24, ACC!I:I, 0)) = "",
     "-",
     INDEX(ACC!L:L, MATCH(CM24, ACC!I:I, 0))),
  "-"
)</f>
        <v>-</v>
      </c>
      <c r="CR24" s="98"/>
    </row>
    <row r="25" spans="1:96">
      <c r="A25" s="185"/>
      <c r="B25" s="186"/>
      <c r="C25" s="186"/>
      <c r="D25" s="187"/>
      <c r="E25" s="167">
        <v>18</v>
      </c>
      <c r="F25" s="168"/>
      <c r="G25" s="24"/>
      <c r="H25" s="278" t="s">
        <v>56</v>
      </c>
      <c r="I25" s="278"/>
      <c r="J25" s="278"/>
      <c r="K25" s="278"/>
      <c r="L25" s="278"/>
      <c r="M25" s="278"/>
      <c r="N25" s="278"/>
      <c r="O25" s="278"/>
      <c r="P25" s="279"/>
      <c r="Q25" s="25"/>
      <c r="R25" s="271" t="s">
        <v>57</v>
      </c>
      <c r="S25" s="271"/>
      <c r="T25" s="272"/>
      <c r="U25" s="273"/>
      <c r="V25" s="274"/>
      <c r="W25" s="274"/>
      <c r="X25" s="275"/>
      <c r="Y25" s="276"/>
      <c r="Z25" s="276"/>
      <c r="AA25" s="276"/>
      <c r="AB25" s="276"/>
      <c r="AC25" s="276"/>
      <c r="AD25" s="276"/>
      <c r="AE25" s="276"/>
      <c r="AF25" s="276"/>
      <c r="AG25" s="276"/>
      <c r="AH25" s="276"/>
      <c r="AI25" s="276"/>
      <c r="AJ25" s="276"/>
      <c r="AK25" s="276"/>
      <c r="AL25" s="276"/>
      <c r="AM25" s="276"/>
      <c r="AN25" s="276"/>
      <c r="AO25" s="276"/>
      <c r="AP25" s="276"/>
      <c r="AQ25" s="276"/>
      <c r="AR25" s="276"/>
      <c r="AS25" s="277"/>
      <c r="AT25" s="255" t="s">
        <v>58</v>
      </c>
      <c r="AU25" s="282"/>
      <c r="AV25" s="282"/>
      <c r="AW25" s="283"/>
      <c r="AX25" s="215">
        <v>63</v>
      </c>
      <c r="AY25" s="216"/>
      <c r="AZ25" s="19" t="s">
        <v>10</v>
      </c>
      <c r="BA25" s="217" t="s">
        <v>59</v>
      </c>
      <c r="BB25" s="217"/>
      <c r="BC25" s="217"/>
      <c r="BD25" s="217"/>
      <c r="BE25" s="217"/>
      <c r="BF25" s="217"/>
      <c r="BG25" s="217"/>
      <c r="BH25" s="217"/>
      <c r="BI25" s="217"/>
      <c r="BJ25" s="217"/>
      <c r="BK25" s="217"/>
      <c r="BL25" s="217"/>
      <c r="BM25" s="217"/>
      <c r="BN25" s="217"/>
      <c r="BO25" s="217"/>
      <c r="BP25" s="218"/>
      <c r="BQ25" s="207" t="str">
        <f t="shared" si="2"/>
        <v>-</v>
      </c>
      <c r="BR25" s="207"/>
      <c r="BS25" s="207"/>
      <c r="BT25" s="207"/>
      <c r="BU25" s="207"/>
      <c r="BV25" s="207"/>
      <c r="BW25" s="207"/>
      <c r="BX25" s="207"/>
      <c r="BY25" s="207"/>
      <c r="BZ25" s="207"/>
      <c r="CA25" s="207"/>
      <c r="CB25" s="207"/>
      <c r="CC25" s="207"/>
      <c r="CD25" s="207"/>
      <c r="CE25" s="207"/>
      <c r="CF25" s="207"/>
      <c r="CG25" s="207"/>
      <c r="CH25" s="207"/>
      <c r="CI25" s="207"/>
      <c r="CJ25" s="208"/>
      <c r="CL25" s="94"/>
      <c r="CM25" s="87" t="s">
        <v>438</v>
      </c>
      <c r="CO25" s="81" t="s">
        <v>241</v>
      </c>
      <c r="CP25" s="223" t="str">
        <f>IFERROR(
  IF(INDEX(ACC!N:N, MATCH(CM26, ACC!M:M, 0)) = "",
     "-",
     INDEX(ACC!N:N, MATCH(CM26, ACC!M:M, 0))),
  "-"
)</f>
        <v>-</v>
      </c>
      <c r="CQ25" s="224"/>
      <c r="CR25" s="98"/>
    </row>
    <row r="26" spans="1:96" ht="16.5" customHeight="1">
      <c r="A26" s="185"/>
      <c r="B26" s="186"/>
      <c r="C26" s="186"/>
      <c r="D26" s="187"/>
      <c r="E26" s="167">
        <v>19</v>
      </c>
      <c r="F26" s="168"/>
      <c r="G26" s="26" t="s">
        <v>10</v>
      </c>
      <c r="H26" s="280"/>
      <c r="I26" s="280"/>
      <c r="J26" s="280"/>
      <c r="K26" s="280"/>
      <c r="L26" s="280"/>
      <c r="M26" s="280"/>
      <c r="N26" s="280"/>
      <c r="O26" s="280"/>
      <c r="P26" s="281"/>
      <c r="Q26" s="25"/>
      <c r="R26" s="271" t="s">
        <v>60</v>
      </c>
      <c r="S26" s="271"/>
      <c r="T26" s="272"/>
      <c r="U26" s="273"/>
      <c r="V26" s="274"/>
      <c r="W26" s="274"/>
      <c r="X26" s="275"/>
      <c r="Y26" s="276"/>
      <c r="Z26" s="276"/>
      <c r="AA26" s="276"/>
      <c r="AB26" s="276"/>
      <c r="AC26" s="276"/>
      <c r="AD26" s="276"/>
      <c r="AE26" s="276"/>
      <c r="AF26" s="276"/>
      <c r="AG26" s="276"/>
      <c r="AH26" s="276"/>
      <c r="AI26" s="276"/>
      <c r="AJ26" s="276"/>
      <c r="AK26" s="276"/>
      <c r="AL26" s="276"/>
      <c r="AM26" s="276"/>
      <c r="AN26" s="276"/>
      <c r="AO26" s="276"/>
      <c r="AP26" s="276"/>
      <c r="AQ26" s="276"/>
      <c r="AR26" s="276"/>
      <c r="AS26" s="277"/>
      <c r="AT26" s="255"/>
      <c r="AU26" s="282"/>
      <c r="AV26" s="282"/>
      <c r="AW26" s="283"/>
      <c r="AX26" s="170">
        <v>64</v>
      </c>
      <c r="AY26" s="171"/>
      <c r="AZ26" s="6" t="s">
        <v>10</v>
      </c>
      <c r="BA26" s="148" t="s">
        <v>41</v>
      </c>
      <c r="BB26" s="148"/>
      <c r="BC26" s="148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50"/>
      <c r="BQ26" s="180" t="str">
        <f t="shared" si="2"/>
        <v>-</v>
      </c>
      <c r="BR26" s="180"/>
      <c r="BS26" s="180"/>
      <c r="BT26" s="180"/>
      <c r="BU26" s="180"/>
      <c r="BV26" s="180"/>
      <c r="BW26" s="180"/>
      <c r="BX26" s="180"/>
      <c r="BY26" s="180"/>
      <c r="BZ26" s="180"/>
      <c r="CA26" s="180"/>
      <c r="CB26" s="180"/>
      <c r="CC26" s="180"/>
      <c r="CD26" s="180"/>
      <c r="CE26" s="180"/>
      <c r="CF26" s="180"/>
      <c r="CG26" s="180"/>
      <c r="CH26" s="180"/>
      <c r="CI26" s="180"/>
      <c r="CJ26" s="181"/>
      <c r="CL26" s="94"/>
      <c r="CM26" s="70"/>
      <c r="CO26" s="82" t="s">
        <v>220</v>
      </c>
      <c r="CP26" s="221" t="str">
        <f>IFERROR(
  IF(INDEX(ACC!O:O, MATCH(CM26, ACC!M:M, 0)) = "",
     "-",
     INDEX(ACC!O:O, MATCH(CM26, ACC!M:M, 0))),
  "-"
)</f>
        <v>-</v>
      </c>
      <c r="CQ26" s="222"/>
      <c r="CR26" s="98"/>
    </row>
    <row r="27" spans="1:96">
      <c r="A27" s="185"/>
      <c r="B27" s="186"/>
      <c r="C27" s="186"/>
      <c r="D27" s="187"/>
      <c r="E27" s="167">
        <v>20</v>
      </c>
      <c r="F27" s="168"/>
      <c r="G27" s="26" t="s">
        <v>10</v>
      </c>
      <c r="H27" s="280" t="s">
        <v>61</v>
      </c>
      <c r="I27" s="280"/>
      <c r="J27" s="280"/>
      <c r="K27" s="280"/>
      <c r="L27" s="280"/>
      <c r="M27" s="280"/>
      <c r="N27" s="280"/>
      <c r="O27" s="280"/>
      <c r="P27" s="281"/>
      <c r="Q27" s="6"/>
      <c r="R27" s="148" t="s">
        <v>62</v>
      </c>
      <c r="S27" s="148"/>
      <c r="T27" s="148"/>
      <c r="U27" s="148"/>
      <c r="V27" s="148"/>
      <c r="W27" s="148"/>
      <c r="X27" s="150"/>
      <c r="Y27" s="284"/>
      <c r="Z27" s="284"/>
      <c r="AA27" s="284"/>
      <c r="AB27" s="284"/>
      <c r="AC27" s="284"/>
      <c r="AD27" s="284"/>
      <c r="AE27" s="284"/>
      <c r="AF27" s="284"/>
      <c r="AG27" s="284"/>
      <c r="AH27" s="284"/>
      <c r="AI27" s="284"/>
      <c r="AJ27" s="285"/>
      <c r="AK27" s="285"/>
      <c r="AL27" s="285"/>
      <c r="AM27" s="285"/>
      <c r="AN27" s="285"/>
      <c r="AO27" s="285"/>
      <c r="AP27" s="285"/>
      <c r="AQ27" s="285"/>
      <c r="AR27" s="285"/>
      <c r="AS27" s="286"/>
      <c r="AT27" s="255"/>
      <c r="AU27" s="282"/>
      <c r="AV27" s="282"/>
      <c r="AW27" s="283"/>
      <c r="AX27" s="170">
        <v>65</v>
      </c>
      <c r="AY27" s="171"/>
      <c r="AZ27" s="6" t="s">
        <v>10</v>
      </c>
      <c r="BA27" s="148" t="s">
        <v>44</v>
      </c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50"/>
      <c r="BQ27" s="180" t="str">
        <f t="shared" si="2"/>
        <v>-</v>
      </c>
      <c r="BR27" s="180"/>
      <c r="BS27" s="180"/>
      <c r="BT27" s="180"/>
      <c r="BU27" s="180"/>
      <c r="BV27" s="180"/>
      <c r="BW27" s="180"/>
      <c r="BX27" s="180"/>
      <c r="BY27" s="180"/>
      <c r="BZ27" s="180"/>
      <c r="CA27" s="180"/>
      <c r="CB27" s="180"/>
      <c r="CC27" s="180"/>
      <c r="CD27" s="180"/>
      <c r="CE27" s="180"/>
      <c r="CF27" s="180"/>
      <c r="CG27" s="180"/>
      <c r="CH27" s="180"/>
      <c r="CI27" s="180"/>
      <c r="CJ27" s="181"/>
      <c r="CL27" s="94"/>
      <c r="CM27" s="35"/>
      <c r="CO27" s="82" t="s">
        <v>219</v>
      </c>
      <c r="CP27" s="221" t="str">
        <f>IFERROR(
  IF(INDEX(ACC!P:P, MATCH(CM26, ACC!M:M, 0)) = "",
     "-",
     INDEX(ACC!P:P, MATCH(CM26, ACC!M:M, 0))),
  "-"
)</f>
        <v>-</v>
      </c>
      <c r="CQ27" s="222"/>
      <c r="CR27" s="98"/>
    </row>
    <row r="28" spans="1:96" ht="17.25" customHeight="1" thickBot="1">
      <c r="A28" s="188"/>
      <c r="B28" s="189"/>
      <c r="C28" s="189"/>
      <c r="D28" s="190"/>
      <c r="E28" s="245">
        <v>21</v>
      </c>
      <c r="F28" s="246"/>
      <c r="G28" s="27"/>
      <c r="H28" s="249" t="s">
        <v>63</v>
      </c>
      <c r="I28" s="249"/>
      <c r="J28" s="249"/>
      <c r="K28" s="249"/>
      <c r="L28" s="249"/>
      <c r="M28" s="249"/>
      <c r="N28" s="249"/>
      <c r="O28" s="249"/>
      <c r="P28" s="250"/>
      <c r="Q28" s="9"/>
      <c r="R28" s="153" t="s">
        <v>62</v>
      </c>
      <c r="S28" s="153"/>
      <c r="T28" s="153"/>
      <c r="U28" s="153"/>
      <c r="V28" s="153"/>
      <c r="W28" s="153"/>
      <c r="X28" s="154"/>
      <c r="Y28" s="247"/>
      <c r="Z28" s="247"/>
      <c r="AA28" s="247"/>
      <c r="AB28" s="247"/>
      <c r="AC28" s="247"/>
      <c r="AD28" s="247"/>
      <c r="AE28" s="247"/>
      <c r="AF28" s="247"/>
      <c r="AG28" s="247"/>
      <c r="AH28" s="247"/>
      <c r="AI28" s="247"/>
      <c r="AJ28" s="251"/>
      <c r="AK28" s="251"/>
      <c r="AL28" s="251"/>
      <c r="AM28" s="251"/>
      <c r="AN28" s="251"/>
      <c r="AO28" s="251"/>
      <c r="AP28" s="251"/>
      <c r="AQ28" s="251"/>
      <c r="AR28" s="251"/>
      <c r="AS28" s="252"/>
      <c r="AT28" s="255"/>
      <c r="AU28" s="282"/>
      <c r="AV28" s="282"/>
      <c r="AW28" s="283"/>
      <c r="AX28" s="253">
        <v>66</v>
      </c>
      <c r="AY28" s="254"/>
      <c r="AZ28" s="28" t="s">
        <v>10</v>
      </c>
      <c r="BA28" s="287" t="s">
        <v>17</v>
      </c>
      <c r="BB28" s="287"/>
      <c r="BC28" s="287"/>
      <c r="BD28" s="287"/>
      <c r="BE28" s="287"/>
      <c r="BF28" s="287"/>
      <c r="BG28" s="287"/>
      <c r="BH28" s="29" t="s">
        <v>10</v>
      </c>
      <c r="BI28" s="287" t="s">
        <v>46</v>
      </c>
      <c r="BJ28" s="287"/>
      <c r="BK28" s="287"/>
      <c r="BL28" s="287"/>
      <c r="BM28" s="287"/>
      <c r="BN28" s="287"/>
      <c r="BO28" s="287"/>
      <c r="BP28" s="288"/>
      <c r="BQ28" s="289" t="str">
        <f t="shared" si="2"/>
        <v>-</v>
      </c>
      <c r="BR28" s="289"/>
      <c r="BS28" s="289"/>
      <c r="BT28" s="289"/>
      <c r="BU28" s="289"/>
      <c r="BV28" s="289"/>
      <c r="BW28" s="289"/>
      <c r="BX28" s="289"/>
      <c r="BY28" s="289"/>
      <c r="BZ28" s="289"/>
      <c r="CA28" s="289" t="str">
        <f>IF(CQ28="", "-", CQ28)</f>
        <v>-</v>
      </c>
      <c r="CB28" s="289"/>
      <c r="CC28" s="289"/>
      <c r="CD28" s="289"/>
      <c r="CE28" s="289"/>
      <c r="CF28" s="289"/>
      <c r="CG28" s="289"/>
      <c r="CH28" s="289"/>
      <c r="CI28" s="289"/>
      <c r="CJ28" s="290"/>
      <c r="CL28" s="94"/>
      <c r="CM28" s="35"/>
      <c r="CO28" s="83" t="s">
        <v>479</v>
      </c>
      <c r="CP28" s="74" t="str">
        <f>IFERROR(
  IF(INDEX(ACC!Q:Q, MATCH(CM26, ACC!M:M, 0)) = "",
     "-",
     INDEX(ACC!Q:Q, MATCH(CM26, ACC!M:M, 0))),
  "-"
)</f>
        <v>-</v>
      </c>
      <c r="CQ28" s="75" t="str">
        <f>IFERROR(
  IF(INDEX(ACC!R:R, MATCH(CM26, ACC!M:M, 0)) = "",
     "-",
     INDEX(ACC!R:R, MATCH(CM26, ACC!M:M, 0))),
  "-"
)</f>
        <v>-</v>
      </c>
      <c r="CR28" s="98"/>
    </row>
    <row r="29" spans="1:96">
      <c r="A29" s="182" t="s">
        <v>65</v>
      </c>
      <c r="B29" s="183"/>
      <c r="C29" s="183"/>
      <c r="D29" s="184"/>
      <c r="E29" s="234">
        <v>22</v>
      </c>
      <c r="F29" s="235"/>
      <c r="G29" s="17" t="s">
        <v>10</v>
      </c>
      <c r="H29" s="146" t="s">
        <v>66</v>
      </c>
      <c r="I29" s="146"/>
      <c r="J29" s="146"/>
      <c r="K29" s="146"/>
      <c r="L29" s="146"/>
      <c r="M29" s="146"/>
      <c r="N29" s="146"/>
      <c r="O29" s="146"/>
      <c r="P29" s="291"/>
      <c r="Q29" s="291"/>
      <c r="R29" s="291"/>
      <c r="S29" s="291"/>
      <c r="T29" s="291"/>
      <c r="U29" s="291"/>
      <c r="V29" s="291"/>
      <c r="W29" s="291"/>
      <c r="X29" s="292"/>
      <c r="Y29" s="293"/>
      <c r="Z29" s="293"/>
      <c r="AA29" s="293"/>
      <c r="AB29" s="293"/>
      <c r="AC29" s="293"/>
      <c r="AD29" s="293"/>
      <c r="AE29" s="293"/>
      <c r="AF29" s="293"/>
      <c r="AG29" s="293"/>
      <c r="AH29" s="293"/>
      <c r="AI29" s="293"/>
      <c r="AJ29" s="293"/>
      <c r="AK29" s="293"/>
      <c r="AL29" s="293"/>
      <c r="AM29" s="293"/>
      <c r="AN29" s="293"/>
      <c r="AO29" s="293"/>
      <c r="AP29" s="293"/>
      <c r="AQ29" s="293"/>
      <c r="AR29" s="293"/>
      <c r="AS29" s="294"/>
      <c r="AT29" s="295" t="s">
        <v>67</v>
      </c>
      <c r="AU29" s="296"/>
      <c r="AV29" s="296"/>
      <c r="AW29" s="297"/>
      <c r="AX29" s="191">
        <v>67</v>
      </c>
      <c r="AY29" s="301"/>
      <c r="AZ29" s="17" t="s">
        <v>10</v>
      </c>
      <c r="BA29" s="146" t="s">
        <v>68</v>
      </c>
      <c r="BB29" s="146"/>
      <c r="BC29" s="146"/>
      <c r="BD29" s="146"/>
      <c r="BE29" s="146"/>
      <c r="BF29" s="146"/>
      <c r="BG29" s="146"/>
      <c r="BH29" s="146"/>
      <c r="BI29" s="146"/>
      <c r="BJ29" s="146"/>
      <c r="BK29" s="146"/>
      <c r="BL29" s="146"/>
      <c r="BM29" s="146"/>
      <c r="BN29" s="146"/>
      <c r="BO29" s="146"/>
      <c r="BP29" s="193"/>
      <c r="BQ29" s="207" t="str">
        <f t="shared" si="2"/>
        <v>-</v>
      </c>
      <c r="BR29" s="207"/>
      <c r="BS29" s="207"/>
      <c r="BT29" s="207"/>
      <c r="BU29" s="207"/>
      <c r="BV29" s="207"/>
      <c r="BW29" s="207"/>
      <c r="BX29" s="207"/>
      <c r="BY29" s="207"/>
      <c r="BZ29" s="207"/>
      <c r="CA29" s="207"/>
      <c r="CB29" s="207"/>
      <c r="CC29" s="207"/>
      <c r="CD29" s="207"/>
      <c r="CE29" s="207"/>
      <c r="CF29" s="207"/>
      <c r="CG29" s="207"/>
      <c r="CH29" s="207"/>
      <c r="CI29" s="207"/>
      <c r="CJ29" s="208"/>
      <c r="CL29" s="94"/>
      <c r="CM29" s="87" t="s">
        <v>439</v>
      </c>
      <c r="CO29" s="81" t="s">
        <v>242</v>
      </c>
      <c r="CP29" s="223" t="str">
        <f>IFERROR(
  IF(INDEX(ACC!T:T, MATCH(CM30, ACC!S:S, 0)) = "",
     "-",
     INDEX(ACC!T:T, MATCH(CM30, ACC!S:S, 0))),
  "-"
)</f>
        <v>-</v>
      </c>
      <c r="CQ29" s="224"/>
      <c r="CR29" s="98"/>
    </row>
    <row r="30" spans="1:96">
      <c r="A30" s="185"/>
      <c r="B30" s="186"/>
      <c r="C30" s="186"/>
      <c r="D30" s="187"/>
      <c r="E30" s="167">
        <v>23</v>
      </c>
      <c r="F30" s="168"/>
      <c r="G30" s="6" t="s">
        <v>10</v>
      </c>
      <c r="H30" s="148" t="s">
        <v>69</v>
      </c>
      <c r="I30" s="148"/>
      <c r="J30" s="148"/>
      <c r="K30" s="148"/>
      <c r="L30" s="148"/>
      <c r="M30" s="148"/>
      <c r="N30" s="148"/>
      <c r="O30" s="148"/>
      <c r="P30" s="148"/>
      <c r="Q30" s="6"/>
      <c r="R30" s="325" t="s">
        <v>70</v>
      </c>
      <c r="S30" s="325"/>
      <c r="T30" s="325"/>
      <c r="U30" s="325"/>
      <c r="V30" s="325"/>
      <c r="W30" s="325"/>
      <c r="X30" s="326"/>
      <c r="Y30" s="313"/>
      <c r="Z30" s="313"/>
      <c r="AA30" s="313"/>
      <c r="AB30" s="313"/>
      <c r="AC30" s="313"/>
      <c r="AD30" s="313"/>
      <c r="AE30" s="313"/>
      <c r="AF30" s="313"/>
      <c r="AG30" s="313"/>
      <c r="AH30" s="313"/>
      <c r="AI30" s="313"/>
      <c r="AJ30" s="313"/>
      <c r="AK30" s="313"/>
      <c r="AL30" s="313"/>
      <c r="AM30" s="313"/>
      <c r="AN30" s="313"/>
      <c r="AO30" s="313"/>
      <c r="AP30" s="313"/>
      <c r="AQ30" s="313"/>
      <c r="AR30" s="313"/>
      <c r="AS30" s="327"/>
      <c r="AT30" s="255"/>
      <c r="AU30" s="282"/>
      <c r="AV30" s="282"/>
      <c r="AW30" s="283"/>
      <c r="AX30" s="170">
        <v>68</v>
      </c>
      <c r="AY30" s="171"/>
      <c r="AZ30" s="6" t="s">
        <v>10</v>
      </c>
      <c r="BA30" s="148" t="s">
        <v>41</v>
      </c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50"/>
      <c r="BQ30" s="180" t="str">
        <f t="shared" si="2"/>
        <v>-</v>
      </c>
      <c r="BR30" s="180"/>
      <c r="BS30" s="180"/>
      <c r="BT30" s="180"/>
      <c r="BU30" s="180"/>
      <c r="BV30" s="180"/>
      <c r="BW30" s="180"/>
      <c r="BX30" s="180"/>
      <c r="BY30" s="180"/>
      <c r="BZ30" s="180"/>
      <c r="CA30" s="180"/>
      <c r="CB30" s="180"/>
      <c r="CC30" s="180"/>
      <c r="CD30" s="180"/>
      <c r="CE30" s="180"/>
      <c r="CF30" s="180"/>
      <c r="CG30" s="180"/>
      <c r="CH30" s="180"/>
      <c r="CI30" s="180"/>
      <c r="CJ30" s="181"/>
      <c r="CL30" s="94"/>
      <c r="CM30" s="70"/>
      <c r="CO30" s="82" t="s">
        <v>220</v>
      </c>
      <c r="CP30" s="221" t="str">
        <f>IFERROR(
  IF(INDEX(ACC!U:U, MATCH(CM30, ACC!S:S, 0)) = "",
     "-",
     INDEX(ACC!U:U, MATCH(CM30, ACC!S:S, 0))),
  "-"
)</f>
        <v>-</v>
      </c>
      <c r="CQ30" s="222"/>
      <c r="CR30" s="98"/>
    </row>
    <row r="31" spans="1:96">
      <c r="A31" s="185"/>
      <c r="B31" s="186"/>
      <c r="C31" s="186"/>
      <c r="D31" s="187"/>
      <c r="E31" s="167">
        <v>24</v>
      </c>
      <c r="F31" s="168"/>
      <c r="G31" s="6" t="s">
        <v>10</v>
      </c>
      <c r="H31" s="148" t="s">
        <v>71</v>
      </c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50"/>
      <c r="Y31" s="302"/>
      <c r="Z31" s="303"/>
      <c r="AA31" s="303"/>
      <c r="AB31" s="303"/>
      <c r="AC31" s="303"/>
      <c r="AD31" s="303"/>
      <c r="AE31" s="303"/>
      <c r="AF31" s="303"/>
      <c r="AG31" s="303"/>
      <c r="AH31" s="303"/>
      <c r="AI31" s="303"/>
      <c r="AJ31" s="303"/>
      <c r="AK31" s="303"/>
      <c r="AL31" s="303"/>
      <c r="AM31" s="303"/>
      <c r="AN31" s="303"/>
      <c r="AO31" s="303"/>
      <c r="AP31" s="303"/>
      <c r="AQ31" s="303"/>
      <c r="AR31" s="303"/>
      <c r="AS31" s="304"/>
      <c r="AT31" s="255"/>
      <c r="AU31" s="282"/>
      <c r="AV31" s="282"/>
      <c r="AW31" s="283"/>
      <c r="AX31" s="170">
        <v>69</v>
      </c>
      <c r="AY31" s="171"/>
      <c r="AZ31" s="6" t="s">
        <v>10</v>
      </c>
      <c r="BA31" s="148" t="s">
        <v>44</v>
      </c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50"/>
      <c r="BQ31" s="180" t="str">
        <f t="shared" si="2"/>
        <v>-</v>
      </c>
      <c r="BR31" s="180"/>
      <c r="BS31" s="180"/>
      <c r="BT31" s="180"/>
      <c r="BU31" s="180"/>
      <c r="BV31" s="180"/>
      <c r="BW31" s="180"/>
      <c r="BX31" s="180"/>
      <c r="BY31" s="180"/>
      <c r="BZ31" s="180"/>
      <c r="CA31" s="180"/>
      <c r="CB31" s="180"/>
      <c r="CC31" s="180"/>
      <c r="CD31" s="180"/>
      <c r="CE31" s="180"/>
      <c r="CF31" s="180"/>
      <c r="CG31" s="180"/>
      <c r="CH31" s="180"/>
      <c r="CI31" s="180"/>
      <c r="CJ31" s="181"/>
      <c r="CL31" s="94"/>
      <c r="CM31" s="35"/>
      <c r="CO31" s="82" t="s">
        <v>219</v>
      </c>
      <c r="CP31" s="221" t="str">
        <f>IFERROR(
  IF(INDEX(ACC!V:V, MATCH(CM30, ACC!S:S, 0)) = "",
     "-",
     INDEX(ACC!V:V, MATCH(CM30, ACC!S:S, 0))),
  "-"
)</f>
        <v>-</v>
      </c>
      <c r="CQ31" s="222"/>
      <c r="CR31" s="98"/>
    </row>
    <row r="32" spans="1:96" ht="17.25" customHeight="1" thickBot="1">
      <c r="A32" s="185"/>
      <c r="B32" s="186"/>
      <c r="C32" s="186"/>
      <c r="D32" s="187"/>
      <c r="E32" s="167">
        <v>25</v>
      </c>
      <c r="F32" s="168"/>
      <c r="G32" s="6" t="s">
        <v>10</v>
      </c>
      <c r="H32" s="148" t="s">
        <v>72</v>
      </c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50"/>
      <c r="Y32" s="302"/>
      <c r="Z32" s="303"/>
      <c r="AA32" s="303"/>
      <c r="AB32" s="303"/>
      <c r="AC32" s="303"/>
      <c r="AD32" s="303"/>
      <c r="AE32" s="303"/>
      <c r="AF32" s="303"/>
      <c r="AG32" s="303"/>
      <c r="AH32" s="303"/>
      <c r="AI32" s="303"/>
      <c r="AJ32" s="303"/>
      <c r="AK32" s="303"/>
      <c r="AL32" s="303"/>
      <c r="AM32" s="303"/>
      <c r="AN32" s="303"/>
      <c r="AO32" s="303"/>
      <c r="AP32" s="303"/>
      <c r="AQ32" s="303"/>
      <c r="AR32" s="303"/>
      <c r="AS32" s="304"/>
      <c r="AT32" s="298"/>
      <c r="AU32" s="299"/>
      <c r="AV32" s="299"/>
      <c r="AW32" s="300"/>
      <c r="AX32" s="172">
        <v>70</v>
      </c>
      <c r="AY32" s="173"/>
      <c r="AZ32" s="9" t="s">
        <v>10</v>
      </c>
      <c r="BA32" s="153" t="s">
        <v>17</v>
      </c>
      <c r="BB32" s="153"/>
      <c r="BC32" s="153"/>
      <c r="BD32" s="153"/>
      <c r="BE32" s="153"/>
      <c r="BF32" s="153"/>
      <c r="BG32" s="153"/>
      <c r="BH32" s="22" t="s">
        <v>10</v>
      </c>
      <c r="BI32" s="153" t="s">
        <v>46</v>
      </c>
      <c r="BJ32" s="153"/>
      <c r="BK32" s="153"/>
      <c r="BL32" s="153"/>
      <c r="BM32" s="153"/>
      <c r="BN32" s="153"/>
      <c r="BO32" s="153"/>
      <c r="BP32" s="154"/>
      <c r="BQ32" s="247" t="str">
        <f t="shared" si="2"/>
        <v>-</v>
      </c>
      <c r="BR32" s="247"/>
      <c r="BS32" s="247"/>
      <c r="BT32" s="247"/>
      <c r="BU32" s="247"/>
      <c r="BV32" s="247"/>
      <c r="BW32" s="247"/>
      <c r="BX32" s="247"/>
      <c r="BY32" s="247"/>
      <c r="BZ32" s="247"/>
      <c r="CA32" s="247" t="str">
        <f>IF(CQ32="", "-", CQ32)</f>
        <v>-</v>
      </c>
      <c r="CB32" s="247"/>
      <c r="CC32" s="247"/>
      <c r="CD32" s="247"/>
      <c r="CE32" s="247"/>
      <c r="CF32" s="247"/>
      <c r="CG32" s="247"/>
      <c r="CH32" s="247"/>
      <c r="CI32" s="247"/>
      <c r="CJ32" s="248"/>
      <c r="CL32" s="94"/>
      <c r="CM32" s="35"/>
      <c r="CO32" s="83" t="s">
        <v>479</v>
      </c>
      <c r="CP32" s="74" t="str">
        <f>IFERROR(
  IF(INDEX(ACC!W:W, MATCH(CM30, ACC!S:S, 0)) = "",
     "-",
     INDEX(ACC!W:W, MATCH(CM30, ACC!S:S, 0))),
  "-"
)</f>
        <v>-</v>
      </c>
      <c r="CQ32" s="75" t="str">
        <f>IFERROR(
  IF(INDEX(ACC!X:X, MATCH(CM30, ACC!S:S, 0)) = "",
     "-",
     INDEX(ACC!X:X, MATCH(CM30, ACC!S:S, 0))),
  "-"
)</f>
        <v>-</v>
      </c>
      <c r="CR32" s="98"/>
    </row>
    <row r="33" spans="1:96">
      <c r="A33" s="185"/>
      <c r="B33" s="186"/>
      <c r="C33" s="186"/>
      <c r="D33" s="187"/>
      <c r="E33" s="167">
        <v>26</v>
      </c>
      <c r="F33" s="168"/>
      <c r="G33" s="30"/>
      <c r="H33" s="148" t="s">
        <v>73</v>
      </c>
      <c r="I33" s="148"/>
      <c r="J33" s="148"/>
      <c r="K33" s="148"/>
      <c r="L33" s="148"/>
      <c r="M33" s="148"/>
      <c r="N33" s="148"/>
      <c r="O33" s="148"/>
      <c r="P33" s="148"/>
      <c r="Q33" s="31"/>
      <c r="R33" s="311" t="s">
        <v>74</v>
      </c>
      <c r="S33" s="311"/>
      <c r="T33" s="311"/>
      <c r="U33" s="311"/>
      <c r="V33" s="311"/>
      <c r="W33" s="311"/>
      <c r="X33" s="312"/>
      <c r="Y33" s="313"/>
      <c r="Z33" s="313"/>
      <c r="AA33" s="313"/>
      <c r="AB33" s="313"/>
      <c r="AC33" s="313"/>
      <c r="AD33" s="313"/>
      <c r="AE33" s="313"/>
      <c r="AF33" s="313"/>
      <c r="AG33" s="313"/>
      <c r="AH33" s="313"/>
      <c r="AI33" s="313"/>
      <c r="AJ33" s="314"/>
      <c r="AK33" s="314"/>
      <c r="AL33" s="314"/>
      <c r="AM33" s="314"/>
      <c r="AN33" s="314"/>
      <c r="AO33" s="314"/>
      <c r="AP33" s="314"/>
      <c r="AQ33" s="314"/>
      <c r="AR33" s="314"/>
      <c r="AS33" s="315"/>
      <c r="AT33" s="209" t="s">
        <v>75</v>
      </c>
      <c r="AU33" s="210"/>
      <c r="AV33" s="210"/>
      <c r="AW33" s="211"/>
      <c r="AX33" s="215">
        <v>71</v>
      </c>
      <c r="AY33" s="216"/>
      <c r="AZ33" s="19" t="s">
        <v>10</v>
      </c>
      <c r="BA33" s="280" t="s">
        <v>76</v>
      </c>
      <c r="BB33" s="280"/>
      <c r="BC33" s="280"/>
      <c r="BD33" s="280"/>
      <c r="BE33" s="280"/>
      <c r="BF33" s="280"/>
      <c r="BG33" s="280"/>
      <c r="BH33" s="280"/>
      <c r="BI33" s="280"/>
      <c r="BJ33" s="280"/>
      <c r="BK33" s="280"/>
      <c r="BL33" s="280"/>
      <c r="BM33" s="280"/>
      <c r="BN33" s="280"/>
      <c r="BO33" s="280"/>
      <c r="BP33" s="281"/>
      <c r="BQ33" s="316" t="str">
        <f t="shared" si="2"/>
        <v>-</v>
      </c>
      <c r="BR33" s="317"/>
      <c r="BS33" s="317"/>
      <c r="BT33" s="317"/>
      <c r="BU33" s="317"/>
      <c r="BV33" s="317"/>
      <c r="BW33" s="317"/>
      <c r="BX33" s="317"/>
      <c r="BY33" s="317"/>
      <c r="BZ33" s="317"/>
      <c r="CA33" s="317"/>
      <c r="CB33" s="317"/>
      <c r="CC33" s="317"/>
      <c r="CD33" s="317"/>
      <c r="CE33" s="317"/>
      <c r="CF33" s="317"/>
      <c r="CG33" s="317"/>
      <c r="CH33" s="317"/>
      <c r="CI33" s="317"/>
      <c r="CJ33" s="318"/>
      <c r="CL33" s="94"/>
      <c r="CM33" s="87" t="s">
        <v>462</v>
      </c>
      <c r="CO33" s="81" t="s">
        <v>463</v>
      </c>
      <c r="CP33" s="319" t="str">
        <f>IFERROR(
  IF(INDEX(ACC!Z:Z, MATCH(CM34, ACC!Y:Y, 0)) = "",
     "-",
     INDEX(ACC!Z:Z, MATCH(CM34, ACC!Y:Y, 0))),
  "-"
)</f>
        <v>-</v>
      </c>
      <c r="CQ33" s="320"/>
      <c r="CR33" s="98"/>
    </row>
    <row r="34" spans="1:96" ht="17.5" thickBot="1">
      <c r="A34" s="185"/>
      <c r="B34" s="186"/>
      <c r="C34" s="186"/>
      <c r="D34" s="187"/>
      <c r="E34" s="167">
        <v>27</v>
      </c>
      <c r="F34" s="168"/>
      <c r="G34" s="32"/>
      <c r="H34" s="148" t="s">
        <v>77</v>
      </c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50"/>
      <c r="Y34" s="302"/>
      <c r="Z34" s="303"/>
      <c r="AA34" s="303"/>
      <c r="AB34" s="303"/>
      <c r="AC34" s="303"/>
      <c r="AD34" s="303"/>
      <c r="AE34" s="303"/>
      <c r="AF34" s="303"/>
      <c r="AG34" s="303"/>
      <c r="AH34" s="303"/>
      <c r="AI34" s="303"/>
      <c r="AJ34" s="303"/>
      <c r="AK34" s="303"/>
      <c r="AL34" s="303"/>
      <c r="AM34" s="303"/>
      <c r="AN34" s="303"/>
      <c r="AO34" s="303"/>
      <c r="AP34" s="303"/>
      <c r="AQ34" s="303"/>
      <c r="AR34" s="303"/>
      <c r="AS34" s="304"/>
      <c r="AT34" s="212"/>
      <c r="AU34" s="213"/>
      <c r="AV34" s="213"/>
      <c r="AW34" s="214"/>
      <c r="AX34" s="172">
        <v>72</v>
      </c>
      <c r="AY34" s="173"/>
      <c r="AZ34" s="22" t="s">
        <v>10</v>
      </c>
      <c r="BA34" s="153" t="s">
        <v>17</v>
      </c>
      <c r="BB34" s="153"/>
      <c r="BC34" s="153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154"/>
      <c r="BQ34" s="247" t="str">
        <f t="shared" si="2"/>
        <v>-</v>
      </c>
      <c r="BR34" s="247"/>
      <c r="BS34" s="247"/>
      <c r="BT34" s="247"/>
      <c r="BU34" s="247"/>
      <c r="BV34" s="247"/>
      <c r="BW34" s="247"/>
      <c r="BX34" s="247"/>
      <c r="BY34" s="247"/>
      <c r="BZ34" s="247"/>
      <c r="CA34" s="247"/>
      <c r="CB34" s="247"/>
      <c r="CC34" s="247"/>
      <c r="CD34" s="247"/>
      <c r="CE34" s="247"/>
      <c r="CF34" s="247"/>
      <c r="CG34" s="247"/>
      <c r="CH34" s="247"/>
      <c r="CI34" s="247"/>
      <c r="CJ34" s="248"/>
      <c r="CL34" s="94"/>
      <c r="CM34" s="70"/>
      <c r="CO34" s="84" t="s">
        <v>216</v>
      </c>
      <c r="CP34" s="321" t="str">
        <f>IFERROR(
  IF(INDEX(ACC!AA:AA, MATCH(CM34, ACC!Y:Y, 0)) = "",
     "-",
     INDEX(ACC!AA:AA, MATCH(CM34, ACC!Y:Y, 0))),
  "-"
)</f>
        <v>-</v>
      </c>
      <c r="CQ34" s="322"/>
      <c r="CR34" s="98"/>
    </row>
    <row r="35" spans="1:96">
      <c r="A35" s="185"/>
      <c r="B35" s="186"/>
      <c r="C35" s="186"/>
      <c r="D35" s="187"/>
      <c r="E35" s="167">
        <v>28</v>
      </c>
      <c r="F35" s="168"/>
      <c r="G35" s="6" t="s">
        <v>10</v>
      </c>
      <c r="H35" s="148" t="s">
        <v>78</v>
      </c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50"/>
      <c r="Y35" s="302"/>
      <c r="Z35" s="303"/>
      <c r="AA35" s="303"/>
      <c r="AB35" s="303"/>
      <c r="AC35" s="303"/>
      <c r="AD35" s="303"/>
      <c r="AE35" s="303"/>
      <c r="AF35" s="303"/>
      <c r="AG35" s="303"/>
      <c r="AH35" s="303"/>
      <c r="AI35" s="303"/>
      <c r="AJ35" s="303"/>
      <c r="AK35" s="303"/>
      <c r="AL35" s="303"/>
      <c r="AM35" s="303"/>
      <c r="AN35" s="303"/>
      <c r="AO35" s="303"/>
      <c r="AP35" s="303"/>
      <c r="AQ35" s="303"/>
      <c r="AR35" s="303"/>
      <c r="AS35" s="304"/>
      <c r="AT35" s="305" t="s">
        <v>79</v>
      </c>
      <c r="AU35" s="306"/>
      <c r="AV35" s="306"/>
      <c r="AW35" s="307"/>
      <c r="AX35" s="215">
        <v>73</v>
      </c>
      <c r="AY35" s="216"/>
      <c r="AZ35" s="19" t="s">
        <v>10</v>
      </c>
      <c r="BA35" s="217" t="s">
        <v>76</v>
      </c>
      <c r="BB35" s="217"/>
      <c r="BC35" s="217"/>
      <c r="BD35" s="217"/>
      <c r="BE35" s="217"/>
      <c r="BF35" s="217"/>
      <c r="BG35" s="217"/>
      <c r="BH35" s="217"/>
      <c r="BI35" s="217"/>
      <c r="BJ35" s="217"/>
      <c r="BK35" s="217"/>
      <c r="BL35" s="217"/>
      <c r="BM35" s="217"/>
      <c r="BN35" s="217"/>
      <c r="BO35" s="217"/>
      <c r="BP35" s="218"/>
      <c r="BQ35" s="317" t="str">
        <f t="shared" si="2"/>
        <v>-</v>
      </c>
      <c r="BR35" s="317"/>
      <c r="BS35" s="317"/>
      <c r="BT35" s="317"/>
      <c r="BU35" s="317"/>
      <c r="BV35" s="317"/>
      <c r="BW35" s="317"/>
      <c r="BX35" s="317"/>
      <c r="BY35" s="317"/>
      <c r="BZ35" s="317"/>
      <c r="CA35" s="317"/>
      <c r="CB35" s="317"/>
      <c r="CC35" s="317"/>
      <c r="CD35" s="317"/>
      <c r="CE35" s="317"/>
      <c r="CF35" s="317"/>
      <c r="CG35" s="317"/>
      <c r="CH35" s="317"/>
      <c r="CI35" s="317"/>
      <c r="CJ35" s="318"/>
      <c r="CL35" s="94"/>
      <c r="CM35" s="87" t="s">
        <v>464</v>
      </c>
      <c r="CO35" s="81" t="s">
        <v>463</v>
      </c>
      <c r="CP35" s="319" t="str">
        <f>IFERROR(
  IF(INDEX(ACC!AC:AC, MATCH(CM36, ACC!AB:AB, 0)) = "",
     "-",
     INDEX(ACC!AC:AC, MATCH(CM36, ACC!AB:AB, 0))),
  "-"
)</f>
        <v>-</v>
      </c>
      <c r="CQ35" s="320"/>
      <c r="CR35" s="98"/>
    </row>
    <row r="36" spans="1:96" ht="17.5" thickBot="1">
      <c r="A36" s="185"/>
      <c r="B36" s="186"/>
      <c r="C36" s="186"/>
      <c r="D36" s="187"/>
      <c r="E36" s="167">
        <v>29</v>
      </c>
      <c r="F36" s="168"/>
      <c r="G36" s="20"/>
      <c r="H36" s="287" t="s">
        <v>80</v>
      </c>
      <c r="I36" s="287"/>
      <c r="J36" s="287"/>
      <c r="K36" s="287"/>
      <c r="L36" s="287"/>
      <c r="M36" s="287"/>
      <c r="N36" s="287"/>
      <c r="O36" s="287"/>
      <c r="P36" s="288"/>
      <c r="Q36" s="33"/>
      <c r="R36" s="330" t="s">
        <v>81</v>
      </c>
      <c r="S36" s="330"/>
      <c r="T36" s="330"/>
      <c r="U36" s="330"/>
      <c r="V36" s="330"/>
      <c r="W36" s="330"/>
      <c r="X36" s="331"/>
      <c r="Y36" s="302"/>
      <c r="Z36" s="332"/>
      <c r="AA36" s="332"/>
      <c r="AB36" s="332"/>
      <c r="AC36" s="332"/>
      <c r="AD36" s="332"/>
      <c r="AE36" s="332"/>
      <c r="AF36" s="332"/>
      <c r="AG36" s="332"/>
      <c r="AH36" s="332"/>
      <c r="AI36" s="332"/>
      <c r="AJ36" s="332"/>
      <c r="AK36" s="332"/>
      <c r="AL36" s="332"/>
      <c r="AM36" s="332"/>
      <c r="AN36" s="332"/>
      <c r="AO36" s="332"/>
      <c r="AP36" s="332"/>
      <c r="AQ36" s="332"/>
      <c r="AR36" s="332"/>
      <c r="AS36" s="333"/>
      <c r="AT36" s="308"/>
      <c r="AU36" s="309"/>
      <c r="AV36" s="309"/>
      <c r="AW36" s="310"/>
      <c r="AX36" s="172">
        <v>74</v>
      </c>
      <c r="AY36" s="173"/>
      <c r="AZ36" s="22" t="s">
        <v>10</v>
      </c>
      <c r="BA36" s="153" t="s">
        <v>17</v>
      </c>
      <c r="BB36" s="153"/>
      <c r="BC36" s="153"/>
      <c r="BD36" s="153"/>
      <c r="BE36" s="153"/>
      <c r="BF36" s="153"/>
      <c r="BG36" s="153"/>
      <c r="BH36" s="153"/>
      <c r="BI36" s="153"/>
      <c r="BJ36" s="153"/>
      <c r="BK36" s="153"/>
      <c r="BL36" s="153"/>
      <c r="BM36" s="153"/>
      <c r="BN36" s="153"/>
      <c r="BO36" s="153"/>
      <c r="BP36" s="154"/>
      <c r="BQ36" s="247" t="str">
        <f t="shared" si="2"/>
        <v>-</v>
      </c>
      <c r="BR36" s="247"/>
      <c r="BS36" s="247"/>
      <c r="BT36" s="247"/>
      <c r="BU36" s="247"/>
      <c r="BV36" s="247"/>
      <c r="BW36" s="247"/>
      <c r="BX36" s="247"/>
      <c r="BY36" s="247"/>
      <c r="BZ36" s="247"/>
      <c r="CA36" s="247"/>
      <c r="CB36" s="247"/>
      <c r="CC36" s="247"/>
      <c r="CD36" s="247"/>
      <c r="CE36" s="247"/>
      <c r="CF36" s="247"/>
      <c r="CG36" s="247"/>
      <c r="CH36" s="247"/>
      <c r="CI36" s="247"/>
      <c r="CJ36" s="248"/>
      <c r="CL36" s="94"/>
      <c r="CM36" s="70"/>
      <c r="CO36" s="83" t="s">
        <v>216</v>
      </c>
      <c r="CP36" s="323" t="str">
        <f>IFERROR(
  IF(INDEX(ACC!AD:AD, MATCH(CM36, ACC!AB:AB, 0)) = "",
     "-",
     INDEX(ACC!AD:AD, MATCH(CM36, ACC!AB:AB, 0))),
  "-"
)</f>
        <v>-</v>
      </c>
      <c r="CQ36" s="324"/>
      <c r="CR36" s="98"/>
    </row>
    <row r="37" spans="1:96" ht="17.5" thickBot="1">
      <c r="A37" s="185"/>
      <c r="B37" s="186"/>
      <c r="C37" s="186"/>
      <c r="D37" s="187"/>
      <c r="E37" s="167">
        <v>30</v>
      </c>
      <c r="F37" s="168"/>
      <c r="G37" s="20"/>
      <c r="H37" s="328"/>
      <c r="I37" s="328"/>
      <c r="J37" s="328"/>
      <c r="K37" s="328"/>
      <c r="L37" s="328"/>
      <c r="M37" s="328"/>
      <c r="N37" s="328"/>
      <c r="O37" s="328"/>
      <c r="P37" s="329"/>
      <c r="Q37" s="33"/>
      <c r="R37" s="330" t="s">
        <v>82</v>
      </c>
      <c r="S37" s="330"/>
      <c r="T37" s="330"/>
      <c r="U37" s="330"/>
      <c r="V37" s="330"/>
      <c r="W37" s="330"/>
      <c r="X37" s="331"/>
      <c r="Y37" s="302"/>
      <c r="Z37" s="332"/>
      <c r="AA37" s="332"/>
      <c r="AB37" s="332"/>
      <c r="AC37" s="332"/>
      <c r="AD37" s="332"/>
      <c r="AE37" s="332"/>
      <c r="AF37" s="332"/>
      <c r="AG37" s="332"/>
      <c r="AH37" s="332"/>
      <c r="AI37" s="332"/>
      <c r="AJ37" s="332"/>
      <c r="AK37" s="332"/>
      <c r="AL37" s="332"/>
      <c r="AM37" s="332"/>
      <c r="AN37" s="332"/>
      <c r="AO37" s="332"/>
      <c r="AP37" s="332"/>
      <c r="AQ37" s="332"/>
      <c r="AR37" s="332"/>
      <c r="AS37" s="333"/>
      <c r="AT37" s="255" t="s">
        <v>83</v>
      </c>
      <c r="AU37" s="282"/>
      <c r="AV37" s="282"/>
      <c r="AW37" s="283"/>
      <c r="AX37" s="215">
        <v>75</v>
      </c>
      <c r="AY37" s="216"/>
      <c r="AZ37" s="19" t="s">
        <v>10</v>
      </c>
      <c r="BA37" s="217" t="s">
        <v>84</v>
      </c>
      <c r="BB37" s="217"/>
      <c r="BC37" s="217"/>
      <c r="BD37" s="217"/>
      <c r="BE37" s="217"/>
      <c r="BF37" s="217"/>
      <c r="BG37" s="217"/>
      <c r="BH37" s="217"/>
      <c r="BI37" s="217"/>
      <c r="BJ37" s="217"/>
      <c r="BK37" s="217"/>
      <c r="BL37" s="217"/>
      <c r="BM37" s="217"/>
      <c r="BN37" s="217"/>
      <c r="BO37" s="217"/>
      <c r="BP37" s="218"/>
      <c r="BQ37" s="334" t="str">
        <f t="shared" si="2"/>
        <v>-</v>
      </c>
      <c r="BR37" s="334"/>
      <c r="BS37" s="334"/>
      <c r="BT37" s="334"/>
      <c r="BU37" s="334"/>
      <c r="BV37" s="334"/>
      <c r="BW37" s="334"/>
      <c r="BX37" s="334"/>
      <c r="BY37" s="334"/>
      <c r="BZ37" s="334"/>
      <c r="CA37" s="334"/>
      <c r="CB37" s="334"/>
      <c r="CC37" s="334"/>
      <c r="CD37" s="334"/>
      <c r="CE37" s="334"/>
      <c r="CF37" s="334"/>
      <c r="CG37" s="334"/>
      <c r="CH37" s="334"/>
      <c r="CI37" s="334"/>
      <c r="CJ37" s="335"/>
      <c r="CL37" s="94"/>
      <c r="CM37" s="87" t="s">
        <v>440</v>
      </c>
      <c r="CO37" s="92" t="s">
        <v>469</v>
      </c>
      <c r="CP37" s="120" t="str">
        <f>IFERROR(
  IF(INDEX(ACC!AE:AE, MATCH(CM38, ACC!AF:AF, 0)) = "",
     "-",
     INDEX(ACC!AE:AE, MATCH(CM38, ACC!AF:AF, 0))),
  "-"
)</f>
        <v>-</v>
      </c>
      <c r="CQ37" s="121"/>
      <c r="CR37" s="98"/>
    </row>
    <row r="38" spans="1:96">
      <c r="A38" s="185"/>
      <c r="B38" s="186"/>
      <c r="C38" s="186"/>
      <c r="D38" s="187"/>
      <c r="E38" s="167">
        <v>31</v>
      </c>
      <c r="F38" s="168"/>
      <c r="G38" s="20"/>
      <c r="H38" s="328"/>
      <c r="I38" s="328"/>
      <c r="J38" s="328"/>
      <c r="K38" s="328"/>
      <c r="L38" s="328"/>
      <c r="M38" s="328"/>
      <c r="N38" s="328"/>
      <c r="O38" s="328"/>
      <c r="P38" s="329"/>
      <c r="Q38" s="33" t="s">
        <v>10</v>
      </c>
      <c r="R38" s="330" t="s">
        <v>85</v>
      </c>
      <c r="S38" s="330"/>
      <c r="T38" s="330"/>
      <c r="U38" s="330"/>
      <c r="V38" s="330"/>
      <c r="W38" s="330"/>
      <c r="X38" s="331"/>
      <c r="Y38" s="314"/>
      <c r="Z38" s="314"/>
      <c r="AA38" s="314"/>
      <c r="AB38" s="314"/>
      <c r="AC38" s="314"/>
      <c r="AD38" s="314"/>
      <c r="AE38" s="314"/>
      <c r="AF38" s="314"/>
      <c r="AG38" s="314"/>
      <c r="AH38" s="314"/>
      <c r="AI38" s="314"/>
      <c r="AJ38" s="314"/>
      <c r="AK38" s="314"/>
      <c r="AL38" s="314"/>
      <c r="AM38" s="314"/>
      <c r="AN38" s="314"/>
      <c r="AO38" s="314"/>
      <c r="AP38" s="314"/>
      <c r="AQ38" s="314"/>
      <c r="AR38" s="314"/>
      <c r="AS38" s="315"/>
      <c r="AT38" s="255"/>
      <c r="AU38" s="282"/>
      <c r="AV38" s="282"/>
      <c r="AW38" s="283"/>
      <c r="AX38" s="170">
        <v>76</v>
      </c>
      <c r="AY38" s="171"/>
      <c r="AZ38" s="6" t="s">
        <v>10</v>
      </c>
      <c r="BA38" s="148" t="s">
        <v>86</v>
      </c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50"/>
      <c r="BQ38" s="165"/>
      <c r="BR38" s="165"/>
      <c r="BS38" s="165"/>
      <c r="BT38" s="165"/>
      <c r="BU38" s="165"/>
      <c r="BV38" s="165"/>
      <c r="BW38" s="165"/>
      <c r="BX38" s="165"/>
      <c r="BY38" s="165"/>
      <c r="BZ38" s="165"/>
      <c r="CA38" s="165"/>
      <c r="CB38" s="165"/>
      <c r="CC38" s="165"/>
      <c r="CD38" s="165"/>
      <c r="CE38" s="165"/>
      <c r="CF38" s="165"/>
      <c r="CG38" s="165"/>
      <c r="CH38" s="165"/>
      <c r="CI38" s="165"/>
      <c r="CJ38" s="166"/>
      <c r="CL38" s="94"/>
      <c r="CM38" s="70"/>
      <c r="CR38" s="98"/>
    </row>
    <row r="39" spans="1:96" ht="17.5" thickBot="1">
      <c r="A39" s="185"/>
      <c r="B39" s="186"/>
      <c r="C39" s="186"/>
      <c r="D39" s="187"/>
      <c r="E39" s="167">
        <v>32</v>
      </c>
      <c r="F39" s="168"/>
      <c r="G39" s="20"/>
      <c r="H39" s="328"/>
      <c r="I39" s="328"/>
      <c r="J39" s="328"/>
      <c r="K39" s="328"/>
      <c r="L39" s="328"/>
      <c r="M39" s="328"/>
      <c r="N39" s="328"/>
      <c r="O39" s="328"/>
      <c r="P39" s="329"/>
      <c r="Q39" s="33"/>
      <c r="R39" s="330" t="s">
        <v>87</v>
      </c>
      <c r="S39" s="330"/>
      <c r="T39" s="330"/>
      <c r="U39" s="330"/>
      <c r="V39" s="330"/>
      <c r="W39" s="330"/>
      <c r="X39" s="331"/>
      <c r="Y39" s="314"/>
      <c r="Z39" s="314"/>
      <c r="AA39" s="314"/>
      <c r="AB39" s="314"/>
      <c r="AC39" s="314"/>
      <c r="AD39" s="314"/>
      <c r="AE39" s="314"/>
      <c r="AF39" s="314"/>
      <c r="AG39" s="314"/>
      <c r="AH39" s="314"/>
      <c r="AI39" s="314"/>
      <c r="AJ39" s="314"/>
      <c r="AK39" s="314"/>
      <c r="AL39" s="314"/>
      <c r="AM39" s="314"/>
      <c r="AN39" s="314"/>
      <c r="AO39" s="314"/>
      <c r="AP39" s="314"/>
      <c r="AQ39" s="314"/>
      <c r="AR39" s="314"/>
      <c r="AS39" s="315"/>
      <c r="AT39" s="255"/>
      <c r="AU39" s="282"/>
      <c r="AV39" s="282"/>
      <c r="AW39" s="283"/>
      <c r="AX39" s="170">
        <v>77</v>
      </c>
      <c r="AY39" s="171"/>
      <c r="AZ39" s="6" t="s">
        <v>10</v>
      </c>
      <c r="BA39" s="148" t="s">
        <v>88</v>
      </c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50"/>
      <c r="BQ39" s="165"/>
      <c r="BR39" s="165"/>
      <c r="BS39" s="165"/>
      <c r="BT39" s="165"/>
      <c r="BU39" s="165"/>
      <c r="BV39" s="165"/>
      <c r="BW39" s="165"/>
      <c r="BX39" s="165"/>
      <c r="BY39" s="165"/>
      <c r="BZ39" s="165"/>
      <c r="CA39" s="165"/>
      <c r="CB39" s="165"/>
      <c r="CC39" s="165"/>
      <c r="CD39" s="165"/>
      <c r="CE39" s="165"/>
      <c r="CF39" s="165"/>
      <c r="CG39" s="165"/>
      <c r="CH39" s="165"/>
      <c r="CI39" s="165"/>
      <c r="CJ39" s="166"/>
      <c r="CL39" s="94"/>
      <c r="CM39" s="35"/>
      <c r="CR39" s="98"/>
    </row>
    <row r="40" spans="1:96" ht="17.5" thickBot="1">
      <c r="A40" s="185"/>
      <c r="B40" s="186"/>
      <c r="C40" s="186"/>
      <c r="D40" s="187"/>
      <c r="E40" s="167">
        <v>33</v>
      </c>
      <c r="F40" s="168"/>
      <c r="G40" s="19"/>
      <c r="H40" s="217"/>
      <c r="I40" s="217"/>
      <c r="J40" s="217"/>
      <c r="K40" s="217"/>
      <c r="L40" s="217"/>
      <c r="M40" s="217"/>
      <c r="N40" s="217"/>
      <c r="O40" s="217"/>
      <c r="P40" s="218"/>
      <c r="Q40" s="33"/>
      <c r="R40" s="330"/>
      <c r="S40" s="330"/>
      <c r="T40" s="330"/>
      <c r="U40" s="330"/>
      <c r="V40" s="330"/>
      <c r="W40" s="330"/>
      <c r="X40" s="331"/>
      <c r="Y40" s="314"/>
      <c r="Z40" s="314"/>
      <c r="AA40" s="314"/>
      <c r="AB40" s="314"/>
      <c r="AC40" s="314"/>
      <c r="AD40" s="314"/>
      <c r="AE40" s="314"/>
      <c r="AF40" s="314"/>
      <c r="AG40" s="314"/>
      <c r="AH40" s="314"/>
      <c r="AI40" s="314"/>
      <c r="AJ40" s="314"/>
      <c r="AK40" s="314"/>
      <c r="AL40" s="314"/>
      <c r="AM40" s="314"/>
      <c r="AN40" s="314"/>
      <c r="AO40" s="314"/>
      <c r="AP40" s="314"/>
      <c r="AQ40" s="314"/>
      <c r="AR40" s="314"/>
      <c r="AS40" s="315"/>
      <c r="AT40" s="255"/>
      <c r="AU40" s="282"/>
      <c r="AV40" s="282"/>
      <c r="AW40" s="283"/>
      <c r="AX40" s="170">
        <v>78</v>
      </c>
      <c r="AY40" s="171"/>
      <c r="AZ40" s="6" t="s">
        <v>10</v>
      </c>
      <c r="BA40" s="148" t="s">
        <v>89</v>
      </c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50"/>
      <c r="BQ40" s="165" t="str">
        <f>IF(CP40="", "-", CP40)</f>
        <v>-</v>
      </c>
      <c r="BR40" s="165"/>
      <c r="BS40" s="165"/>
      <c r="BT40" s="165"/>
      <c r="BU40" s="165"/>
      <c r="BV40" s="165"/>
      <c r="BW40" s="165"/>
      <c r="BX40" s="165"/>
      <c r="BY40" s="165"/>
      <c r="BZ40" s="165"/>
      <c r="CA40" s="165"/>
      <c r="CB40" s="165"/>
      <c r="CC40" s="165"/>
      <c r="CD40" s="165"/>
      <c r="CE40" s="165"/>
      <c r="CF40" s="165"/>
      <c r="CG40" s="165"/>
      <c r="CH40" s="165"/>
      <c r="CI40" s="165"/>
      <c r="CJ40" s="166"/>
      <c r="CL40" s="94"/>
      <c r="CM40" s="87" t="s">
        <v>444</v>
      </c>
      <c r="CO40" s="80" t="s">
        <v>470</v>
      </c>
      <c r="CP40" s="120" t="str">
        <f>IFERROR(
  IF(INDEX(ACC!AH:AH, MATCH(CM41, ACC!AG:AG, 0)) = "",
     "-",
     INDEX(ACC!AH:AH, MATCH(CM41, ACC!AG:AG, 0))),
  "-"
)</f>
        <v>-</v>
      </c>
      <c r="CQ40" s="121"/>
      <c r="CR40" s="98"/>
    </row>
    <row r="41" spans="1:96">
      <c r="A41" s="185"/>
      <c r="B41" s="186"/>
      <c r="C41" s="186"/>
      <c r="D41" s="187"/>
      <c r="E41" s="167">
        <v>34</v>
      </c>
      <c r="F41" s="168"/>
      <c r="G41" s="19"/>
      <c r="H41" s="325" t="s">
        <v>90</v>
      </c>
      <c r="I41" s="325"/>
      <c r="J41" s="325"/>
      <c r="K41" s="325"/>
      <c r="L41" s="325"/>
      <c r="M41" s="325"/>
      <c r="N41" s="325"/>
      <c r="O41" s="325"/>
      <c r="P41" s="325"/>
      <c r="Q41" s="325"/>
      <c r="R41" s="325"/>
      <c r="S41" s="325"/>
      <c r="T41" s="325"/>
      <c r="U41" s="325"/>
      <c r="V41" s="325"/>
      <c r="W41" s="325"/>
      <c r="X41" s="326"/>
      <c r="Y41" s="314"/>
      <c r="Z41" s="314"/>
      <c r="AA41" s="314"/>
      <c r="AB41" s="314"/>
      <c r="AC41" s="314"/>
      <c r="AD41" s="314"/>
      <c r="AE41" s="314"/>
      <c r="AF41" s="314"/>
      <c r="AG41" s="314"/>
      <c r="AH41" s="314"/>
      <c r="AI41" s="314"/>
      <c r="AJ41" s="314"/>
      <c r="AK41" s="314"/>
      <c r="AL41" s="314"/>
      <c r="AM41" s="314"/>
      <c r="AN41" s="314"/>
      <c r="AO41" s="314"/>
      <c r="AP41" s="314"/>
      <c r="AQ41" s="314"/>
      <c r="AR41" s="314"/>
      <c r="AS41" s="315"/>
      <c r="AT41" s="255"/>
      <c r="AU41" s="282"/>
      <c r="AV41" s="282"/>
      <c r="AW41" s="283"/>
      <c r="AX41" s="170">
        <v>79</v>
      </c>
      <c r="AY41" s="171"/>
      <c r="AZ41" s="6" t="s">
        <v>10</v>
      </c>
      <c r="BA41" s="148" t="s">
        <v>91</v>
      </c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50"/>
      <c r="BQ41" s="165"/>
      <c r="BR41" s="165"/>
      <c r="BS41" s="165"/>
      <c r="BT41" s="165"/>
      <c r="BU41" s="165"/>
      <c r="BV41" s="165"/>
      <c r="BW41" s="165"/>
      <c r="BX41" s="165"/>
      <c r="BY41" s="165"/>
      <c r="BZ41" s="165"/>
      <c r="CA41" s="165"/>
      <c r="CB41" s="165"/>
      <c r="CC41" s="165"/>
      <c r="CD41" s="165"/>
      <c r="CE41" s="165"/>
      <c r="CF41" s="165"/>
      <c r="CG41" s="165"/>
      <c r="CH41" s="165"/>
      <c r="CI41" s="165"/>
      <c r="CJ41" s="166"/>
      <c r="CL41" s="94"/>
      <c r="CM41" s="70"/>
      <c r="CR41" s="98"/>
    </row>
    <row r="42" spans="1:96" ht="17.5" thickBot="1">
      <c r="A42" s="185"/>
      <c r="B42" s="186"/>
      <c r="C42" s="186"/>
      <c r="D42" s="187"/>
      <c r="E42" s="167">
        <v>35</v>
      </c>
      <c r="F42" s="168"/>
      <c r="G42" s="6" t="s">
        <v>10</v>
      </c>
      <c r="H42" s="148" t="s">
        <v>92</v>
      </c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50"/>
      <c r="Y42" s="314"/>
      <c r="Z42" s="314"/>
      <c r="AA42" s="314"/>
      <c r="AB42" s="314"/>
      <c r="AC42" s="314"/>
      <c r="AD42" s="314"/>
      <c r="AE42" s="314"/>
      <c r="AF42" s="314"/>
      <c r="AG42" s="314"/>
      <c r="AH42" s="314"/>
      <c r="AI42" s="314"/>
      <c r="AJ42" s="314"/>
      <c r="AK42" s="314"/>
      <c r="AL42" s="314"/>
      <c r="AM42" s="314"/>
      <c r="AN42" s="314"/>
      <c r="AO42" s="314"/>
      <c r="AP42" s="314"/>
      <c r="AQ42" s="314"/>
      <c r="AR42" s="314"/>
      <c r="AS42" s="315"/>
      <c r="AT42" s="255"/>
      <c r="AU42" s="282"/>
      <c r="AV42" s="282"/>
      <c r="AW42" s="283"/>
      <c r="AX42" s="170">
        <v>80</v>
      </c>
      <c r="AY42" s="171"/>
      <c r="AZ42" s="6" t="s">
        <v>10</v>
      </c>
      <c r="BA42" s="148" t="s">
        <v>93</v>
      </c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50"/>
      <c r="BQ42" s="165"/>
      <c r="BR42" s="165"/>
      <c r="BS42" s="165"/>
      <c r="BT42" s="165"/>
      <c r="BU42" s="165"/>
      <c r="BV42" s="165"/>
      <c r="BW42" s="165"/>
      <c r="BX42" s="165"/>
      <c r="BY42" s="165"/>
      <c r="BZ42" s="165"/>
      <c r="CA42" s="165"/>
      <c r="CB42" s="165"/>
      <c r="CC42" s="165"/>
      <c r="CD42" s="165"/>
      <c r="CE42" s="165"/>
      <c r="CF42" s="165"/>
      <c r="CG42" s="165"/>
      <c r="CH42" s="165"/>
      <c r="CI42" s="165"/>
      <c r="CJ42" s="166"/>
      <c r="CL42" s="96"/>
      <c r="CM42" s="69"/>
      <c r="CN42" s="21"/>
      <c r="CO42" s="21"/>
      <c r="CP42" s="21"/>
      <c r="CQ42" s="21"/>
      <c r="CR42" s="99"/>
    </row>
    <row r="43" spans="1:96" ht="17.5" thickBot="1">
      <c r="A43" s="185"/>
      <c r="B43" s="186"/>
      <c r="C43" s="186"/>
      <c r="D43" s="187"/>
      <c r="E43" s="167">
        <v>36</v>
      </c>
      <c r="F43" s="168"/>
      <c r="G43" s="6" t="s">
        <v>10</v>
      </c>
      <c r="H43" s="148" t="s">
        <v>94</v>
      </c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50"/>
      <c r="Y43" s="313"/>
      <c r="Z43" s="313"/>
      <c r="AA43" s="313"/>
      <c r="AB43" s="313"/>
      <c r="AC43" s="313"/>
      <c r="AD43" s="313"/>
      <c r="AE43" s="313"/>
      <c r="AF43" s="313"/>
      <c r="AG43" s="313"/>
      <c r="AH43" s="313"/>
      <c r="AI43" s="313"/>
      <c r="AJ43" s="313"/>
      <c r="AK43" s="313"/>
      <c r="AL43" s="313"/>
      <c r="AM43" s="313"/>
      <c r="AN43" s="313"/>
      <c r="AO43" s="313"/>
      <c r="AP43" s="313"/>
      <c r="AQ43" s="313"/>
      <c r="AR43" s="313"/>
      <c r="AS43" s="327"/>
      <c r="AT43" s="298"/>
      <c r="AU43" s="299"/>
      <c r="AV43" s="299"/>
      <c r="AW43" s="300"/>
      <c r="AX43" s="172">
        <v>81</v>
      </c>
      <c r="AY43" s="173"/>
      <c r="AZ43" s="9" t="s">
        <v>10</v>
      </c>
      <c r="BA43" s="153" t="s">
        <v>95</v>
      </c>
      <c r="BB43" s="153"/>
      <c r="BC43" s="153"/>
      <c r="BD43" s="153"/>
      <c r="BE43" s="153"/>
      <c r="BF43" s="153"/>
      <c r="BG43" s="153"/>
      <c r="BH43" s="153"/>
      <c r="BI43" s="153"/>
      <c r="BJ43" s="153"/>
      <c r="BK43" s="153"/>
      <c r="BL43" s="153"/>
      <c r="BM43" s="153"/>
      <c r="BN43" s="153"/>
      <c r="BO43" s="153"/>
      <c r="BP43" s="154"/>
      <c r="BQ43" s="165"/>
      <c r="BR43" s="165"/>
      <c r="BS43" s="165"/>
      <c r="BT43" s="165"/>
      <c r="BU43" s="165"/>
      <c r="BV43" s="165"/>
      <c r="BW43" s="165"/>
      <c r="BX43" s="165"/>
      <c r="BY43" s="165"/>
      <c r="BZ43" s="165"/>
      <c r="CA43" s="165"/>
      <c r="CB43" s="165"/>
      <c r="CC43" s="165"/>
      <c r="CD43" s="165"/>
      <c r="CE43" s="165"/>
      <c r="CF43" s="165"/>
      <c r="CG43" s="165"/>
      <c r="CH43" s="165"/>
      <c r="CI43" s="165"/>
      <c r="CJ43" s="166"/>
      <c r="CM43" s="35"/>
    </row>
    <row r="44" spans="1:96" ht="16.5" customHeight="1">
      <c r="A44" s="185"/>
      <c r="B44" s="186"/>
      <c r="C44" s="186"/>
      <c r="D44" s="187"/>
      <c r="E44" s="167">
        <v>37</v>
      </c>
      <c r="F44" s="168"/>
      <c r="G44" s="6" t="s">
        <v>10</v>
      </c>
      <c r="H44" s="148" t="s">
        <v>96</v>
      </c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50"/>
      <c r="Y44" s="336"/>
      <c r="Z44" s="336"/>
      <c r="AA44" s="336"/>
      <c r="AB44" s="336"/>
      <c r="AC44" s="336"/>
      <c r="AD44" s="336"/>
      <c r="AE44" s="336"/>
      <c r="AF44" s="336"/>
      <c r="AG44" s="336"/>
      <c r="AH44" s="336"/>
      <c r="AI44" s="336"/>
      <c r="AJ44" s="336"/>
      <c r="AK44" s="336"/>
      <c r="AL44" s="336"/>
      <c r="AM44" s="336"/>
      <c r="AN44" s="336"/>
      <c r="AO44" s="336"/>
      <c r="AP44" s="336"/>
      <c r="AQ44" s="336"/>
      <c r="AR44" s="336"/>
      <c r="AS44" s="337"/>
      <c r="AT44" s="338" t="s">
        <v>97</v>
      </c>
      <c r="AU44" s="339"/>
      <c r="AV44" s="339"/>
      <c r="AW44" s="340"/>
      <c r="AX44" s="215">
        <v>82</v>
      </c>
      <c r="AY44" s="216"/>
      <c r="AZ44" s="36"/>
      <c r="BA44" s="347" t="s">
        <v>98</v>
      </c>
      <c r="BB44" s="347"/>
      <c r="BC44" s="347"/>
      <c r="BD44" s="347"/>
      <c r="BE44" s="347"/>
      <c r="BF44" s="347"/>
      <c r="BG44" s="347"/>
      <c r="BH44" s="347"/>
      <c r="BI44" s="348"/>
      <c r="BJ44" s="37" t="s">
        <v>10</v>
      </c>
      <c r="BK44" s="217" t="s">
        <v>99</v>
      </c>
      <c r="BL44" s="217"/>
      <c r="BM44" s="217"/>
      <c r="BN44" s="217"/>
      <c r="BO44" s="217"/>
      <c r="BP44" s="218"/>
      <c r="BQ44" s="207"/>
      <c r="BR44" s="207"/>
      <c r="BS44" s="207"/>
      <c r="BT44" s="207"/>
      <c r="BU44" s="207"/>
      <c r="BV44" s="207"/>
      <c r="BW44" s="207"/>
      <c r="BX44" s="207"/>
      <c r="BY44" s="207"/>
      <c r="BZ44" s="207"/>
      <c r="CA44" s="207"/>
      <c r="CB44" s="207"/>
      <c r="CC44" s="207"/>
      <c r="CD44" s="207"/>
      <c r="CE44" s="207"/>
      <c r="CF44" s="207"/>
      <c r="CG44" s="207"/>
      <c r="CH44" s="207"/>
      <c r="CI44" s="207"/>
      <c r="CJ44" s="208"/>
    </row>
    <row r="45" spans="1:96">
      <c r="A45" s="185"/>
      <c r="B45" s="186"/>
      <c r="C45" s="186"/>
      <c r="D45" s="187"/>
      <c r="E45" s="167">
        <v>38</v>
      </c>
      <c r="F45" s="168"/>
      <c r="G45" s="6" t="s">
        <v>10</v>
      </c>
      <c r="H45" s="148" t="s">
        <v>100</v>
      </c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50"/>
      <c r="Y45" s="314"/>
      <c r="Z45" s="314"/>
      <c r="AA45" s="314"/>
      <c r="AB45" s="314"/>
      <c r="AC45" s="314"/>
      <c r="AD45" s="314"/>
      <c r="AE45" s="314"/>
      <c r="AF45" s="314"/>
      <c r="AG45" s="314"/>
      <c r="AH45" s="314"/>
      <c r="AI45" s="314"/>
      <c r="AJ45" s="314"/>
      <c r="AK45" s="314"/>
      <c r="AL45" s="314"/>
      <c r="AM45" s="314"/>
      <c r="AN45" s="314"/>
      <c r="AO45" s="314"/>
      <c r="AP45" s="314"/>
      <c r="AQ45" s="314"/>
      <c r="AR45" s="314"/>
      <c r="AS45" s="315"/>
      <c r="AT45" s="341"/>
      <c r="AU45" s="342"/>
      <c r="AV45" s="342"/>
      <c r="AW45" s="343"/>
      <c r="AX45" s="170">
        <v>83</v>
      </c>
      <c r="AY45" s="171"/>
      <c r="AZ45" s="36"/>
      <c r="BA45" s="347"/>
      <c r="BB45" s="347"/>
      <c r="BC45" s="347"/>
      <c r="BD45" s="347"/>
      <c r="BE45" s="347"/>
      <c r="BF45" s="347"/>
      <c r="BG45" s="347"/>
      <c r="BH45" s="347"/>
      <c r="BI45" s="348"/>
      <c r="BJ45" s="8"/>
      <c r="BK45" s="148" t="s">
        <v>101</v>
      </c>
      <c r="BL45" s="148"/>
      <c r="BM45" s="148"/>
      <c r="BN45" s="148"/>
      <c r="BO45" s="148"/>
      <c r="BP45" s="150"/>
      <c r="BQ45" s="180"/>
      <c r="BR45" s="180"/>
      <c r="BS45" s="180"/>
      <c r="BT45" s="180"/>
      <c r="BU45" s="180"/>
      <c r="BV45" s="180"/>
      <c r="BW45" s="180"/>
      <c r="BX45" s="180"/>
      <c r="BY45" s="180"/>
      <c r="BZ45" s="180"/>
      <c r="CA45" s="180"/>
      <c r="CB45" s="180"/>
      <c r="CC45" s="180"/>
      <c r="CD45" s="180"/>
      <c r="CE45" s="180"/>
      <c r="CF45" s="180"/>
      <c r="CG45" s="180"/>
      <c r="CH45" s="180"/>
      <c r="CI45" s="180"/>
      <c r="CJ45" s="181"/>
    </row>
    <row r="46" spans="1:96">
      <c r="A46" s="185"/>
      <c r="B46" s="186"/>
      <c r="C46" s="186"/>
      <c r="D46" s="187"/>
      <c r="E46" s="167">
        <v>39</v>
      </c>
      <c r="F46" s="168"/>
      <c r="G46" s="6" t="s">
        <v>18</v>
      </c>
      <c r="H46" s="148" t="s">
        <v>102</v>
      </c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50"/>
      <c r="Y46" s="351"/>
      <c r="Z46" s="314"/>
      <c r="AA46" s="314"/>
      <c r="AB46" s="314"/>
      <c r="AC46" s="314"/>
      <c r="AD46" s="314"/>
      <c r="AE46" s="314"/>
      <c r="AF46" s="314"/>
      <c r="AG46" s="314"/>
      <c r="AH46" s="314"/>
      <c r="AI46" s="314"/>
      <c r="AJ46" s="314"/>
      <c r="AK46" s="314"/>
      <c r="AL46" s="314"/>
      <c r="AM46" s="314"/>
      <c r="AN46" s="314"/>
      <c r="AO46" s="314"/>
      <c r="AP46" s="314"/>
      <c r="AQ46" s="314"/>
      <c r="AR46" s="314"/>
      <c r="AS46" s="315"/>
      <c r="AT46" s="341"/>
      <c r="AU46" s="342"/>
      <c r="AV46" s="342"/>
      <c r="AW46" s="343"/>
      <c r="AX46" s="170">
        <v>84</v>
      </c>
      <c r="AY46" s="171"/>
      <c r="AZ46" s="36"/>
      <c r="BA46" s="347"/>
      <c r="BB46" s="347"/>
      <c r="BC46" s="347"/>
      <c r="BD46" s="347"/>
      <c r="BE46" s="347"/>
      <c r="BF46" s="347"/>
      <c r="BG46" s="347"/>
      <c r="BH46" s="347"/>
      <c r="BI46" s="348"/>
      <c r="BJ46" s="8"/>
      <c r="BK46" s="148" t="s">
        <v>103</v>
      </c>
      <c r="BL46" s="148"/>
      <c r="BM46" s="148"/>
      <c r="BN46" s="148"/>
      <c r="BO46" s="148"/>
      <c r="BP46" s="150"/>
      <c r="BQ46" s="180"/>
      <c r="BR46" s="180"/>
      <c r="BS46" s="180"/>
      <c r="BT46" s="180"/>
      <c r="BU46" s="180"/>
      <c r="BV46" s="180"/>
      <c r="BW46" s="180"/>
      <c r="BX46" s="180"/>
      <c r="BY46" s="180"/>
      <c r="BZ46" s="180"/>
      <c r="CA46" s="180"/>
      <c r="CB46" s="180"/>
      <c r="CC46" s="180"/>
      <c r="CD46" s="180"/>
      <c r="CE46" s="180"/>
      <c r="CF46" s="180"/>
      <c r="CG46" s="180"/>
      <c r="CH46" s="180"/>
      <c r="CI46" s="180"/>
      <c r="CJ46" s="181"/>
    </row>
    <row r="47" spans="1:96">
      <c r="A47" s="185"/>
      <c r="B47" s="186"/>
      <c r="C47" s="186"/>
      <c r="D47" s="187"/>
      <c r="E47" s="167">
        <v>40</v>
      </c>
      <c r="F47" s="168"/>
      <c r="G47" s="6" t="s">
        <v>18</v>
      </c>
      <c r="H47" s="148" t="s">
        <v>104</v>
      </c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50"/>
      <c r="Y47" s="314"/>
      <c r="Z47" s="314"/>
      <c r="AA47" s="314"/>
      <c r="AB47" s="314"/>
      <c r="AC47" s="314"/>
      <c r="AD47" s="314"/>
      <c r="AE47" s="314"/>
      <c r="AF47" s="314"/>
      <c r="AG47" s="314"/>
      <c r="AH47" s="314"/>
      <c r="AI47" s="314"/>
      <c r="AJ47" s="314"/>
      <c r="AK47" s="314"/>
      <c r="AL47" s="314"/>
      <c r="AM47" s="314"/>
      <c r="AN47" s="314"/>
      <c r="AO47" s="314"/>
      <c r="AP47" s="314"/>
      <c r="AQ47" s="314"/>
      <c r="AR47" s="314"/>
      <c r="AS47" s="315"/>
      <c r="AT47" s="341"/>
      <c r="AU47" s="342"/>
      <c r="AV47" s="342"/>
      <c r="AW47" s="343"/>
      <c r="AX47" s="170">
        <v>85</v>
      </c>
      <c r="AY47" s="171"/>
      <c r="AZ47" s="19" t="s">
        <v>10</v>
      </c>
      <c r="BA47" s="349"/>
      <c r="BB47" s="349"/>
      <c r="BC47" s="349"/>
      <c r="BD47" s="349"/>
      <c r="BE47" s="349"/>
      <c r="BF47" s="349"/>
      <c r="BG47" s="349"/>
      <c r="BH47" s="349"/>
      <c r="BI47" s="350"/>
      <c r="BJ47" s="8"/>
      <c r="BK47" s="148" t="s">
        <v>105</v>
      </c>
      <c r="BL47" s="148"/>
      <c r="BM47" s="148"/>
      <c r="BN47" s="148"/>
      <c r="BO47" s="148"/>
      <c r="BP47" s="150"/>
      <c r="BQ47" s="180"/>
      <c r="BR47" s="180"/>
      <c r="BS47" s="180"/>
      <c r="BT47" s="180"/>
      <c r="BU47" s="180"/>
      <c r="BV47" s="180"/>
      <c r="BW47" s="180"/>
      <c r="BX47" s="180"/>
      <c r="BY47" s="180"/>
      <c r="BZ47" s="180"/>
      <c r="CA47" s="180"/>
      <c r="CB47" s="180"/>
      <c r="CC47" s="180"/>
      <c r="CD47" s="180"/>
      <c r="CE47" s="180"/>
      <c r="CF47" s="180"/>
      <c r="CG47" s="180"/>
      <c r="CH47" s="180"/>
      <c r="CI47" s="180"/>
      <c r="CJ47" s="181"/>
    </row>
    <row r="48" spans="1:96">
      <c r="A48" s="185"/>
      <c r="B48" s="186"/>
      <c r="C48" s="186"/>
      <c r="D48" s="187"/>
      <c r="E48" s="167">
        <v>41</v>
      </c>
      <c r="F48" s="168"/>
      <c r="G48" s="6" t="s">
        <v>10</v>
      </c>
      <c r="H48" s="148" t="s">
        <v>25</v>
      </c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50"/>
      <c r="Y48" s="314"/>
      <c r="Z48" s="314"/>
      <c r="AA48" s="314"/>
      <c r="AB48" s="314"/>
      <c r="AC48" s="314"/>
      <c r="AD48" s="314"/>
      <c r="AE48" s="314"/>
      <c r="AF48" s="314"/>
      <c r="AG48" s="314"/>
      <c r="AH48" s="314"/>
      <c r="AI48" s="314"/>
      <c r="AJ48" s="314"/>
      <c r="AK48" s="314"/>
      <c r="AL48" s="314"/>
      <c r="AM48" s="314"/>
      <c r="AN48" s="314"/>
      <c r="AO48" s="314"/>
      <c r="AP48" s="314"/>
      <c r="AQ48" s="314"/>
      <c r="AR48" s="314"/>
      <c r="AS48" s="315"/>
      <c r="AT48" s="341"/>
      <c r="AU48" s="342"/>
      <c r="AV48" s="342"/>
      <c r="AW48" s="343"/>
      <c r="AX48" s="170">
        <v>86</v>
      </c>
      <c r="AY48" s="171"/>
      <c r="AZ48" s="6" t="s">
        <v>10</v>
      </c>
      <c r="BA48" s="148" t="s">
        <v>106</v>
      </c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50"/>
      <c r="BQ48" s="180"/>
      <c r="BR48" s="180"/>
      <c r="BS48" s="180"/>
      <c r="BT48" s="180"/>
      <c r="BU48" s="180"/>
      <c r="BV48" s="180"/>
      <c r="BW48" s="180"/>
      <c r="BX48" s="180"/>
      <c r="BY48" s="180"/>
      <c r="BZ48" s="180"/>
      <c r="CA48" s="180"/>
      <c r="CB48" s="180"/>
      <c r="CC48" s="180"/>
      <c r="CD48" s="180"/>
      <c r="CE48" s="180"/>
      <c r="CF48" s="180"/>
      <c r="CG48" s="180"/>
      <c r="CH48" s="180"/>
      <c r="CI48" s="180"/>
      <c r="CJ48" s="181"/>
    </row>
    <row r="49" spans="1:88">
      <c r="A49" s="185"/>
      <c r="B49" s="186"/>
      <c r="C49" s="186"/>
      <c r="D49" s="187"/>
      <c r="E49" s="167">
        <v>42</v>
      </c>
      <c r="F49" s="168"/>
      <c r="G49" s="6" t="s">
        <v>10</v>
      </c>
      <c r="H49" s="148" t="s">
        <v>28</v>
      </c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50"/>
      <c r="Y49" s="314"/>
      <c r="Z49" s="314"/>
      <c r="AA49" s="314"/>
      <c r="AB49" s="314"/>
      <c r="AC49" s="314"/>
      <c r="AD49" s="314"/>
      <c r="AE49" s="314"/>
      <c r="AF49" s="314"/>
      <c r="AG49" s="314"/>
      <c r="AH49" s="314"/>
      <c r="AI49" s="314"/>
      <c r="AJ49" s="314"/>
      <c r="AK49" s="314"/>
      <c r="AL49" s="314"/>
      <c r="AM49" s="314"/>
      <c r="AN49" s="314"/>
      <c r="AO49" s="314"/>
      <c r="AP49" s="314"/>
      <c r="AQ49" s="314"/>
      <c r="AR49" s="314"/>
      <c r="AS49" s="315"/>
      <c r="AT49" s="341"/>
      <c r="AU49" s="342"/>
      <c r="AV49" s="342"/>
      <c r="AW49" s="343"/>
      <c r="AX49" s="170">
        <v>87</v>
      </c>
      <c r="AY49" s="171"/>
      <c r="AZ49" s="6"/>
      <c r="BA49" s="148" t="s">
        <v>107</v>
      </c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50"/>
      <c r="BQ49" s="165"/>
      <c r="BR49" s="165"/>
      <c r="BS49" s="165"/>
      <c r="BT49" s="165"/>
      <c r="BU49" s="165"/>
      <c r="BV49" s="165"/>
      <c r="BW49" s="165"/>
      <c r="BX49" s="165"/>
      <c r="BY49" s="165"/>
      <c r="BZ49" s="165"/>
      <c r="CA49" s="165"/>
      <c r="CB49" s="165"/>
      <c r="CC49" s="165"/>
      <c r="CD49" s="165"/>
      <c r="CE49" s="165"/>
      <c r="CF49" s="165"/>
      <c r="CG49" s="165"/>
      <c r="CH49" s="165"/>
      <c r="CI49" s="165"/>
      <c r="CJ49" s="166"/>
    </row>
    <row r="50" spans="1:88">
      <c r="A50" s="185"/>
      <c r="B50" s="186"/>
      <c r="C50" s="186"/>
      <c r="D50" s="187"/>
      <c r="E50" s="167">
        <v>43</v>
      </c>
      <c r="F50" s="168"/>
      <c r="G50" s="6" t="s">
        <v>10</v>
      </c>
      <c r="H50" s="148" t="s">
        <v>108</v>
      </c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50"/>
      <c r="Y50" s="314"/>
      <c r="Z50" s="314"/>
      <c r="AA50" s="314"/>
      <c r="AB50" s="314"/>
      <c r="AC50" s="314"/>
      <c r="AD50" s="314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14"/>
      <c r="AQ50" s="314"/>
      <c r="AR50" s="314"/>
      <c r="AS50" s="315"/>
      <c r="AT50" s="341"/>
      <c r="AU50" s="342"/>
      <c r="AV50" s="342"/>
      <c r="AW50" s="343"/>
      <c r="AX50" s="170">
        <v>88</v>
      </c>
      <c r="AY50" s="171"/>
      <c r="AZ50" s="6"/>
      <c r="BA50" s="148" t="s">
        <v>109</v>
      </c>
      <c r="BB50" s="148"/>
      <c r="BC50" s="148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50"/>
      <c r="BQ50" s="165"/>
      <c r="BR50" s="165"/>
      <c r="BS50" s="165"/>
      <c r="BT50" s="165"/>
      <c r="BU50" s="165"/>
      <c r="BV50" s="165"/>
      <c r="BW50" s="165"/>
      <c r="BX50" s="165"/>
      <c r="BY50" s="165"/>
      <c r="BZ50" s="165"/>
      <c r="CA50" s="165"/>
      <c r="CB50" s="165"/>
      <c r="CC50" s="165"/>
      <c r="CD50" s="165"/>
      <c r="CE50" s="165"/>
      <c r="CF50" s="165"/>
      <c r="CG50" s="165"/>
      <c r="CH50" s="165"/>
      <c r="CI50" s="165"/>
      <c r="CJ50" s="166"/>
    </row>
    <row r="51" spans="1:88">
      <c r="A51" s="185"/>
      <c r="B51" s="186"/>
      <c r="C51" s="186"/>
      <c r="D51" s="187"/>
      <c r="E51" s="167">
        <v>44</v>
      </c>
      <c r="F51" s="168"/>
      <c r="G51" s="6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50"/>
      <c r="Y51" s="314"/>
      <c r="Z51" s="314"/>
      <c r="AA51" s="314"/>
      <c r="AB51" s="314"/>
      <c r="AC51" s="314"/>
      <c r="AD51" s="314"/>
      <c r="AE51" s="314"/>
      <c r="AF51" s="314"/>
      <c r="AG51" s="314"/>
      <c r="AH51" s="314"/>
      <c r="AI51" s="314"/>
      <c r="AJ51" s="314"/>
      <c r="AK51" s="314"/>
      <c r="AL51" s="314"/>
      <c r="AM51" s="314"/>
      <c r="AN51" s="314"/>
      <c r="AO51" s="314"/>
      <c r="AP51" s="314"/>
      <c r="AQ51" s="314"/>
      <c r="AR51" s="314"/>
      <c r="AS51" s="315"/>
      <c r="AT51" s="341"/>
      <c r="AU51" s="342"/>
      <c r="AV51" s="342"/>
      <c r="AW51" s="343"/>
      <c r="AX51" s="215">
        <v>89</v>
      </c>
      <c r="AY51" s="216"/>
      <c r="AZ51" s="19"/>
      <c r="BA51" s="217"/>
      <c r="BB51" s="217"/>
      <c r="BC51" s="217"/>
      <c r="BD51" s="217"/>
      <c r="BE51" s="217"/>
      <c r="BF51" s="217"/>
      <c r="BG51" s="217"/>
      <c r="BH51" s="217"/>
      <c r="BI51" s="217"/>
      <c r="BJ51" s="217"/>
      <c r="BK51" s="217"/>
      <c r="BL51" s="217"/>
      <c r="BM51" s="217"/>
      <c r="BN51" s="217"/>
      <c r="BO51" s="217"/>
      <c r="BP51" s="218"/>
      <c r="BQ51" s="284"/>
      <c r="BR51" s="284"/>
      <c r="BS51" s="284"/>
      <c r="BT51" s="284"/>
      <c r="BU51" s="284"/>
      <c r="BV51" s="284"/>
      <c r="BW51" s="284"/>
      <c r="BX51" s="284"/>
      <c r="BY51" s="284"/>
      <c r="BZ51" s="284"/>
      <c r="CA51" s="284"/>
      <c r="CB51" s="284"/>
      <c r="CC51" s="284"/>
      <c r="CD51" s="284"/>
      <c r="CE51" s="284"/>
      <c r="CF51" s="284"/>
      <c r="CG51" s="284"/>
      <c r="CH51" s="284"/>
      <c r="CI51" s="284"/>
      <c r="CJ51" s="358"/>
    </row>
    <row r="52" spans="1:88" ht="17.5" thickBot="1">
      <c r="A52" s="188"/>
      <c r="B52" s="189"/>
      <c r="C52" s="189"/>
      <c r="D52" s="190"/>
      <c r="E52" s="245">
        <v>45</v>
      </c>
      <c r="F52" s="246"/>
      <c r="G52" s="9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4"/>
      <c r="Y52" s="352"/>
      <c r="Z52" s="352"/>
      <c r="AA52" s="352"/>
      <c r="AB52" s="352"/>
      <c r="AC52" s="352"/>
      <c r="AD52" s="352"/>
      <c r="AE52" s="352"/>
      <c r="AF52" s="352"/>
      <c r="AG52" s="352"/>
      <c r="AH52" s="352"/>
      <c r="AI52" s="352"/>
      <c r="AJ52" s="352"/>
      <c r="AK52" s="352"/>
      <c r="AL52" s="352"/>
      <c r="AM52" s="352"/>
      <c r="AN52" s="352"/>
      <c r="AO52" s="352"/>
      <c r="AP52" s="352"/>
      <c r="AQ52" s="352"/>
      <c r="AR52" s="352"/>
      <c r="AS52" s="353"/>
      <c r="AT52" s="344"/>
      <c r="AU52" s="345"/>
      <c r="AV52" s="345"/>
      <c r="AW52" s="346"/>
      <c r="AX52" s="172">
        <v>90</v>
      </c>
      <c r="AY52" s="173"/>
      <c r="AZ52" s="38"/>
      <c r="BA52" s="354"/>
      <c r="BB52" s="354"/>
      <c r="BC52" s="354"/>
      <c r="BD52" s="354"/>
      <c r="BE52" s="354"/>
      <c r="BF52" s="354"/>
      <c r="BG52" s="354"/>
      <c r="BH52" s="354"/>
      <c r="BI52" s="354"/>
      <c r="BJ52" s="354"/>
      <c r="BK52" s="354"/>
      <c r="BL52" s="354"/>
      <c r="BM52" s="354"/>
      <c r="BN52" s="354"/>
      <c r="BO52" s="354"/>
      <c r="BP52" s="355"/>
      <c r="BQ52" s="356"/>
      <c r="BR52" s="356"/>
      <c r="BS52" s="356"/>
      <c r="BT52" s="356"/>
      <c r="BU52" s="356"/>
      <c r="BV52" s="356"/>
      <c r="BW52" s="356"/>
      <c r="BX52" s="356"/>
      <c r="BY52" s="356"/>
      <c r="BZ52" s="356"/>
      <c r="CA52" s="356"/>
      <c r="CB52" s="356"/>
      <c r="CC52" s="356"/>
      <c r="CD52" s="356"/>
      <c r="CE52" s="356"/>
      <c r="CF52" s="356"/>
      <c r="CG52" s="356"/>
      <c r="CH52" s="356"/>
      <c r="CI52" s="356"/>
      <c r="CJ52" s="357"/>
    </row>
    <row r="53" spans="1:88">
      <c r="A53" s="382" t="s">
        <v>110</v>
      </c>
      <c r="B53" s="383"/>
      <c r="C53" s="383"/>
      <c r="D53" s="384"/>
      <c r="E53" s="39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1"/>
    </row>
    <row r="54" spans="1:88">
      <c r="A54" s="382"/>
      <c r="B54" s="383"/>
      <c r="C54" s="383"/>
      <c r="D54" s="384"/>
      <c r="E54" s="42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43"/>
    </row>
    <row r="55" spans="1:88">
      <c r="A55" s="382"/>
      <c r="B55" s="383"/>
      <c r="C55" s="383"/>
      <c r="D55" s="384"/>
      <c r="E55" s="42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  <c r="CF55" s="34"/>
      <c r="CG55" s="34"/>
      <c r="CH55" s="34"/>
      <c r="CI55" s="34"/>
      <c r="CJ55" s="43"/>
    </row>
    <row r="56" spans="1:88">
      <c r="A56" s="382"/>
      <c r="B56" s="383"/>
      <c r="C56" s="383"/>
      <c r="D56" s="384"/>
      <c r="E56" s="42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  <c r="CF56" s="34"/>
      <c r="CG56" s="34"/>
      <c r="CH56" s="34"/>
      <c r="CI56" s="34"/>
      <c r="CJ56" s="43"/>
    </row>
    <row r="57" spans="1:88">
      <c r="A57" s="382"/>
      <c r="B57" s="383"/>
      <c r="C57" s="383"/>
      <c r="D57" s="384"/>
      <c r="E57" s="42" t="s">
        <v>10</v>
      </c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  <c r="CF57" s="34"/>
      <c r="CG57" s="34"/>
      <c r="CH57" s="34"/>
      <c r="CI57" s="34"/>
      <c r="CJ57" s="43"/>
    </row>
    <row r="58" spans="1:88" ht="17.5" thickBot="1">
      <c r="A58" s="385"/>
      <c r="B58" s="386"/>
      <c r="C58" s="386"/>
      <c r="D58" s="387"/>
      <c r="E58" s="44" t="s">
        <v>10</v>
      </c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45"/>
      <c r="BD58" s="45"/>
      <c r="BE58" s="45"/>
      <c r="BF58" s="45"/>
      <c r="BG58" s="45"/>
      <c r="BH58" s="45"/>
      <c r="BI58" s="45"/>
      <c r="BJ58" s="45"/>
      <c r="BK58" s="45"/>
      <c r="BL58" s="45"/>
      <c r="BM58" s="45"/>
      <c r="BN58" s="45"/>
      <c r="BO58" s="45"/>
      <c r="BP58" s="45"/>
      <c r="BQ58" s="45"/>
      <c r="BR58" s="45"/>
      <c r="BS58" s="45"/>
      <c r="BT58" s="45"/>
      <c r="BU58" s="45"/>
      <c r="BV58" s="45"/>
      <c r="BW58" s="45"/>
      <c r="BX58" s="45"/>
      <c r="BY58" s="45"/>
      <c r="BZ58" s="45"/>
      <c r="CA58" s="45"/>
      <c r="CB58" s="45"/>
      <c r="CC58" s="45"/>
      <c r="CD58" s="45"/>
      <c r="CE58" s="45"/>
      <c r="CF58" s="45"/>
      <c r="CG58" s="45"/>
      <c r="CH58" s="45"/>
      <c r="CI58" s="45"/>
      <c r="CJ58" s="46"/>
    </row>
    <row r="59" spans="1:88">
      <c r="A59" s="388"/>
      <c r="B59" s="389"/>
      <c r="C59" s="389"/>
      <c r="D59" s="390"/>
      <c r="E59" s="49"/>
      <c r="F59" s="47"/>
      <c r="G59" s="50"/>
      <c r="H59" s="47"/>
      <c r="I59" s="47"/>
      <c r="J59" s="47"/>
      <c r="K59" s="47"/>
      <c r="L59" s="47"/>
      <c r="M59" s="47"/>
      <c r="N59" s="47"/>
      <c r="O59" s="47"/>
      <c r="P59" s="47"/>
      <c r="Q59" s="48"/>
      <c r="R59" s="51"/>
      <c r="S59" s="52"/>
      <c r="T59" s="53"/>
      <c r="U59" s="53"/>
      <c r="V59" s="53"/>
      <c r="W59" s="53"/>
      <c r="X59" s="53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194"/>
      <c r="BN59" s="195"/>
      <c r="BO59" s="195"/>
      <c r="BP59" s="195"/>
      <c r="BQ59" s="195"/>
      <c r="BR59" s="195"/>
      <c r="BS59" s="195"/>
      <c r="BT59" s="391"/>
      <c r="BU59" s="194"/>
      <c r="BV59" s="195"/>
      <c r="BW59" s="195"/>
      <c r="BX59" s="195"/>
      <c r="BY59" s="195"/>
      <c r="BZ59" s="195"/>
      <c r="CA59" s="195"/>
      <c r="CB59" s="391"/>
      <c r="CC59" s="194"/>
      <c r="CD59" s="195"/>
      <c r="CE59" s="195"/>
      <c r="CF59" s="195"/>
      <c r="CG59" s="195"/>
      <c r="CH59" s="195"/>
      <c r="CI59" s="195"/>
      <c r="CJ59" s="196"/>
    </row>
    <row r="60" spans="1:88">
      <c r="A60" s="392"/>
      <c r="B60" s="393"/>
      <c r="C60" s="393"/>
      <c r="D60" s="394"/>
      <c r="E60" s="54"/>
      <c r="F60" s="55"/>
      <c r="G60" s="56"/>
      <c r="H60" s="55"/>
      <c r="I60" s="55"/>
      <c r="J60" s="55"/>
      <c r="K60" s="55"/>
      <c r="L60" s="55"/>
      <c r="M60" s="55"/>
      <c r="N60" s="55"/>
      <c r="O60" s="55"/>
      <c r="P60" s="55"/>
      <c r="Q60" s="57"/>
      <c r="R60" s="58"/>
      <c r="S60" s="56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59"/>
      <c r="AU60" s="59"/>
      <c r="AV60" s="59"/>
      <c r="AW60" s="59"/>
      <c r="AX60" s="59"/>
      <c r="AY60" s="59"/>
      <c r="AZ60" s="59"/>
      <c r="BA60" s="59"/>
      <c r="BB60" s="59"/>
      <c r="BC60" s="59"/>
      <c r="BD60" s="59"/>
      <c r="BE60" s="59"/>
      <c r="BF60" s="59"/>
      <c r="BG60" s="59"/>
      <c r="BH60" s="59"/>
      <c r="BI60" s="59"/>
      <c r="BJ60" s="59"/>
      <c r="BK60" s="59"/>
      <c r="BL60" s="60"/>
      <c r="BM60" s="378"/>
      <c r="BN60" s="379"/>
      <c r="BO60" s="379"/>
      <c r="BP60" s="379"/>
      <c r="BQ60" s="379"/>
      <c r="BR60" s="379"/>
      <c r="BS60" s="379"/>
      <c r="BT60" s="380"/>
      <c r="BU60" s="378"/>
      <c r="BV60" s="379"/>
      <c r="BW60" s="379"/>
      <c r="BX60" s="379"/>
      <c r="BY60" s="379"/>
      <c r="BZ60" s="379"/>
      <c r="CA60" s="379"/>
      <c r="CB60" s="380"/>
      <c r="CC60" s="378"/>
      <c r="CD60" s="379"/>
      <c r="CE60" s="379"/>
      <c r="CF60" s="379"/>
      <c r="CG60" s="379"/>
      <c r="CH60" s="379"/>
      <c r="CI60" s="379"/>
      <c r="CJ60" s="381"/>
    </row>
    <row r="61" spans="1:88">
      <c r="A61" s="369"/>
      <c r="B61" s="370"/>
      <c r="C61" s="370"/>
      <c r="D61" s="371"/>
      <c r="E61" s="372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4"/>
      <c r="R61" s="375"/>
      <c r="S61" s="376"/>
      <c r="T61" s="376"/>
      <c r="U61" s="376"/>
      <c r="V61" s="376"/>
      <c r="W61" s="376"/>
      <c r="X61" s="376"/>
      <c r="Y61" s="376"/>
      <c r="Z61" s="376"/>
      <c r="AA61" s="376"/>
      <c r="AB61" s="376"/>
      <c r="AC61" s="376"/>
      <c r="AD61" s="376"/>
      <c r="AE61" s="376"/>
      <c r="AF61" s="376"/>
      <c r="AG61" s="376"/>
      <c r="AH61" s="376"/>
      <c r="AI61" s="376"/>
      <c r="AJ61" s="376"/>
      <c r="AK61" s="376"/>
      <c r="AL61" s="376"/>
      <c r="AM61" s="376"/>
      <c r="AN61" s="376"/>
      <c r="AO61" s="376"/>
      <c r="AP61" s="376"/>
      <c r="AQ61" s="376"/>
      <c r="AR61" s="376"/>
      <c r="AS61" s="376"/>
      <c r="AT61" s="376"/>
      <c r="AU61" s="376"/>
      <c r="AV61" s="376"/>
      <c r="AW61" s="376"/>
      <c r="AX61" s="376"/>
      <c r="AY61" s="376"/>
      <c r="AZ61" s="376"/>
      <c r="BA61" s="376"/>
      <c r="BB61" s="376"/>
      <c r="BC61" s="376"/>
      <c r="BD61" s="376"/>
      <c r="BE61" s="376"/>
      <c r="BF61" s="376"/>
      <c r="BG61" s="376"/>
      <c r="BH61" s="376"/>
      <c r="BI61" s="376"/>
      <c r="BJ61" s="376"/>
      <c r="BK61" s="376"/>
      <c r="BL61" s="377"/>
      <c r="BM61" s="378"/>
      <c r="BN61" s="379"/>
      <c r="BO61" s="379"/>
      <c r="BP61" s="379"/>
      <c r="BQ61" s="379"/>
      <c r="BR61" s="379"/>
      <c r="BS61" s="379"/>
      <c r="BT61" s="380"/>
      <c r="BU61" s="378"/>
      <c r="BV61" s="379"/>
      <c r="BW61" s="379"/>
      <c r="BX61" s="379"/>
      <c r="BY61" s="379"/>
      <c r="BZ61" s="379"/>
      <c r="CA61" s="379"/>
      <c r="CB61" s="380"/>
      <c r="CC61" s="378"/>
      <c r="CD61" s="379"/>
      <c r="CE61" s="379"/>
      <c r="CF61" s="379"/>
      <c r="CG61" s="379"/>
      <c r="CH61" s="379"/>
      <c r="CI61" s="379"/>
      <c r="CJ61" s="381"/>
    </row>
    <row r="62" spans="1:88" ht="17.5" thickBot="1">
      <c r="A62" s="359" t="s">
        <v>111</v>
      </c>
      <c r="B62" s="360"/>
      <c r="C62" s="360"/>
      <c r="D62" s="361"/>
      <c r="E62" s="362" t="s">
        <v>112</v>
      </c>
      <c r="F62" s="363"/>
      <c r="G62" s="363"/>
      <c r="H62" s="363"/>
      <c r="I62" s="363"/>
      <c r="J62" s="363"/>
      <c r="K62" s="363"/>
      <c r="L62" s="363"/>
      <c r="M62" s="363"/>
      <c r="N62" s="363"/>
      <c r="O62" s="363"/>
      <c r="P62" s="363"/>
      <c r="Q62" s="364"/>
      <c r="R62" s="365" t="s">
        <v>113</v>
      </c>
      <c r="S62" s="366"/>
      <c r="T62" s="366"/>
      <c r="U62" s="366"/>
      <c r="V62" s="366"/>
      <c r="W62" s="366"/>
      <c r="X62" s="366"/>
      <c r="Y62" s="366"/>
      <c r="Z62" s="366"/>
      <c r="AA62" s="366"/>
      <c r="AB62" s="366"/>
      <c r="AC62" s="366"/>
      <c r="AD62" s="366"/>
      <c r="AE62" s="366"/>
      <c r="AF62" s="366"/>
      <c r="AG62" s="366"/>
      <c r="AH62" s="366"/>
      <c r="AI62" s="366"/>
      <c r="AJ62" s="366"/>
      <c r="AK62" s="366"/>
      <c r="AL62" s="366"/>
      <c r="AM62" s="366"/>
      <c r="AN62" s="366"/>
      <c r="AO62" s="366"/>
      <c r="AP62" s="366"/>
      <c r="AQ62" s="366"/>
      <c r="AR62" s="366"/>
      <c r="AS62" s="366"/>
      <c r="AT62" s="366"/>
      <c r="AU62" s="366"/>
      <c r="AV62" s="366"/>
      <c r="AW62" s="366"/>
      <c r="AX62" s="366"/>
      <c r="AY62" s="366"/>
      <c r="AZ62" s="366"/>
      <c r="BA62" s="366"/>
      <c r="BB62" s="366"/>
      <c r="BC62" s="366"/>
      <c r="BD62" s="366"/>
      <c r="BE62" s="366"/>
      <c r="BF62" s="366"/>
      <c r="BG62" s="366"/>
      <c r="BH62" s="366"/>
      <c r="BI62" s="366"/>
      <c r="BJ62" s="366"/>
      <c r="BK62" s="366"/>
      <c r="BL62" s="367"/>
      <c r="BM62" s="362" t="s">
        <v>114</v>
      </c>
      <c r="BN62" s="363"/>
      <c r="BO62" s="363"/>
      <c r="BP62" s="363"/>
      <c r="BQ62" s="363"/>
      <c r="BR62" s="363"/>
      <c r="BS62" s="363"/>
      <c r="BT62" s="364"/>
      <c r="BU62" s="362" t="s">
        <v>115</v>
      </c>
      <c r="BV62" s="363"/>
      <c r="BW62" s="363"/>
      <c r="BX62" s="363"/>
      <c r="BY62" s="363"/>
      <c r="BZ62" s="363"/>
      <c r="CA62" s="363"/>
      <c r="CB62" s="364"/>
      <c r="CC62" s="362" t="s">
        <v>116</v>
      </c>
      <c r="CD62" s="363"/>
      <c r="CE62" s="363"/>
      <c r="CF62" s="363"/>
      <c r="CG62" s="363"/>
      <c r="CH62" s="363"/>
      <c r="CI62" s="363"/>
      <c r="CJ62" s="368"/>
    </row>
  </sheetData>
  <mergeCells count="414">
    <mergeCell ref="A53:D58"/>
    <mergeCell ref="A59:D59"/>
    <mergeCell ref="BM59:BT59"/>
    <mergeCell ref="BU59:CB59"/>
    <mergeCell ref="CC59:CJ59"/>
    <mergeCell ref="A60:D60"/>
    <mergeCell ref="BM60:BT60"/>
    <mergeCell ref="BU60:CB60"/>
    <mergeCell ref="CC60:CJ60"/>
    <mergeCell ref="A62:D62"/>
    <mergeCell ref="E62:Q62"/>
    <mergeCell ref="R62:BL62"/>
    <mergeCell ref="BM62:BT62"/>
    <mergeCell ref="BU62:CB62"/>
    <mergeCell ref="CC62:CJ62"/>
    <mergeCell ref="A61:D61"/>
    <mergeCell ref="E61:Q61"/>
    <mergeCell ref="R61:BL61"/>
    <mergeCell ref="BM61:BT61"/>
    <mergeCell ref="BU61:CB61"/>
    <mergeCell ref="CC61:CJ61"/>
    <mergeCell ref="E52:F52"/>
    <mergeCell ref="H52:X52"/>
    <mergeCell ref="Y52:AS52"/>
    <mergeCell ref="AX52:AY52"/>
    <mergeCell ref="BA52:BP52"/>
    <mergeCell ref="BQ52:CJ52"/>
    <mergeCell ref="E51:F51"/>
    <mergeCell ref="H51:X51"/>
    <mergeCell ref="Y51:AS51"/>
    <mergeCell ref="AX51:AY51"/>
    <mergeCell ref="BA51:BP51"/>
    <mergeCell ref="BQ51:CJ51"/>
    <mergeCell ref="BK46:BP46"/>
    <mergeCell ref="BQ46:CJ46"/>
    <mergeCell ref="E47:F47"/>
    <mergeCell ref="H47:X47"/>
    <mergeCell ref="Y47:AS47"/>
    <mergeCell ref="AX47:AY47"/>
    <mergeCell ref="BK47:BP47"/>
    <mergeCell ref="BQ47:CJ47"/>
    <mergeCell ref="E50:F50"/>
    <mergeCell ref="H50:X50"/>
    <mergeCell ref="Y50:AS50"/>
    <mergeCell ref="AX50:AY50"/>
    <mergeCell ref="BA50:BP50"/>
    <mergeCell ref="BQ50:CJ50"/>
    <mergeCell ref="E49:F49"/>
    <mergeCell ref="H49:X49"/>
    <mergeCell ref="Y49:AS49"/>
    <mergeCell ref="AX49:AY49"/>
    <mergeCell ref="BA49:BP49"/>
    <mergeCell ref="BQ49:CJ49"/>
    <mergeCell ref="BK44:BP44"/>
    <mergeCell ref="BQ44:CJ44"/>
    <mergeCell ref="E45:F45"/>
    <mergeCell ref="H45:X45"/>
    <mergeCell ref="Y45:AS45"/>
    <mergeCell ref="AX45:AY45"/>
    <mergeCell ref="BK45:BP45"/>
    <mergeCell ref="BQ45:CJ45"/>
    <mergeCell ref="E44:F44"/>
    <mergeCell ref="H44:X44"/>
    <mergeCell ref="Y44:AS44"/>
    <mergeCell ref="AT44:AW52"/>
    <mergeCell ref="AX44:AY44"/>
    <mergeCell ref="BA44:BI47"/>
    <mergeCell ref="E46:F46"/>
    <mergeCell ref="H46:X46"/>
    <mergeCell ref="Y46:AS46"/>
    <mergeCell ref="AX46:AY46"/>
    <mergeCell ref="E48:F48"/>
    <mergeCell ref="H48:X48"/>
    <mergeCell ref="Y48:AS48"/>
    <mergeCell ref="AX48:AY48"/>
    <mergeCell ref="BA48:BP48"/>
    <mergeCell ref="BQ48:CJ48"/>
    <mergeCell ref="E43:F43"/>
    <mergeCell ref="H43:X43"/>
    <mergeCell ref="Y43:AS43"/>
    <mergeCell ref="AX43:AY43"/>
    <mergeCell ref="BA43:BP43"/>
    <mergeCell ref="BQ43:CJ43"/>
    <mergeCell ref="E42:F42"/>
    <mergeCell ref="H42:X42"/>
    <mergeCell ref="Y42:AS42"/>
    <mergeCell ref="AX42:AY42"/>
    <mergeCell ref="BA42:BP42"/>
    <mergeCell ref="BQ42:CJ42"/>
    <mergeCell ref="Y41:AS41"/>
    <mergeCell ref="AX41:AY41"/>
    <mergeCell ref="BA41:BP41"/>
    <mergeCell ref="BQ41:CJ41"/>
    <mergeCell ref="BA39:BP39"/>
    <mergeCell ref="BQ39:CJ39"/>
    <mergeCell ref="E40:F40"/>
    <mergeCell ref="R40:X40"/>
    <mergeCell ref="Y40:AS40"/>
    <mergeCell ref="AX40:AY40"/>
    <mergeCell ref="BA40:BP40"/>
    <mergeCell ref="BQ40:CJ40"/>
    <mergeCell ref="E36:F36"/>
    <mergeCell ref="H36:P40"/>
    <mergeCell ref="R36:X36"/>
    <mergeCell ref="Y36:AS36"/>
    <mergeCell ref="AX36:AY36"/>
    <mergeCell ref="BA36:BP36"/>
    <mergeCell ref="BQ36:CJ36"/>
    <mergeCell ref="BQ37:CJ37"/>
    <mergeCell ref="E38:F38"/>
    <mergeCell ref="R38:X38"/>
    <mergeCell ref="Y38:AS38"/>
    <mergeCell ref="AX38:AY38"/>
    <mergeCell ref="BA38:BP38"/>
    <mergeCell ref="BQ38:CJ38"/>
    <mergeCell ref="E37:F37"/>
    <mergeCell ref="R37:X37"/>
    <mergeCell ref="Y37:AS37"/>
    <mergeCell ref="AT37:AW43"/>
    <mergeCell ref="AX37:AY37"/>
    <mergeCell ref="BA37:BP37"/>
    <mergeCell ref="E39:F39"/>
    <mergeCell ref="R39:X39"/>
    <mergeCell ref="E41:F41"/>
    <mergeCell ref="H41:X41"/>
    <mergeCell ref="CP36:CQ36"/>
    <mergeCell ref="CP37:CQ37"/>
    <mergeCell ref="E30:F30"/>
    <mergeCell ref="H30:P30"/>
    <mergeCell ref="R30:X30"/>
    <mergeCell ref="Y30:AI30"/>
    <mergeCell ref="AJ30:AS30"/>
    <mergeCell ref="AX30:AY30"/>
    <mergeCell ref="BA30:BP30"/>
    <mergeCell ref="BQ30:CJ30"/>
    <mergeCell ref="CP30:CQ30"/>
    <mergeCell ref="E32:F32"/>
    <mergeCell ref="H32:X32"/>
    <mergeCell ref="Y32:AS32"/>
    <mergeCell ref="AX32:AY32"/>
    <mergeCell ref="BA32:BG32"/>
    <mergeCell ref="BI32:BP32"/>
    <mergeCell ref="BQ32:BZ32"/>
    <mergeCell ref="CA32:CJ32"/>
    <mergeCell ref="CP31:CQ31"/>
    <mergeCell ref="E34:F34"/>
    <mergeCell ref="H34:X34"/>
    <mergeCell ref="Y34:AS34"/>
    <mergeCell ref="AX34:AY34"/>
    <mergeCell ref="BA29:BP29"/>
    <mergeCell ref="BQ29:CJ29"/>
    <mergeCell ref="BA31:BP31"/>
    <mergeCell ref="BQ31:CJ31"/>
    <mergeCell ref="BA33:BP33"/>
    <mergeCell ref="BQ33:CJ33"/>
    <mergeCell ref="BA35:BP35"/>
    <mergeCell ref="BQ35:CJ35"/>
    <mergeCell ref="CP35:CQ35"/>
    <mergeCell ref="CP29:CQ29"/>
    <mergeCell ref="BA34:BP34"/>
    <mergeCell ref="BQ34:CJ34"/>
    <mergeCell ref="CP34:CQ34"/>
    <mergeCell ref="CP33:CQ33"/>
    <mergeCell ref="A29:D52"/>
    <mergeCell ref="E29:F29"/>
    <mergeCell ref="H29:X29"/>
    <mergeCell ref="Y29:AS29"/>
    <mergeCell ref="AT29:AW32"/>
    <mergeCell ref="AX29:AY29"/>
    <mergeCell ref="E35:F35"/>
    <mergeCell ref="H35:X35"/>
    <mergeCell ref="Y35:AS35"/>
    <mergeCell ref="AT35:AW36"/>
    <mergeCell ref="E31:F31"/>
    <mergeCell ref="H31:X31"/>
    <mergeCell ref="Y31:AS31"/>
    <mergeCell ref="AX31:AY31"/>
    <mergeCell ref="E33:F33"/>
    <mergeCell ref="H33:P33"/>
    <mergeCell ref="R33:X33"/>
    <mergeCell ref="Y33:AI33"/>
    <mergeCell ref="AX35:AY35"/>
    <mergeCell ref="Y39:AS39"/>
    <mergeCell ref="AX39:AY39"/>
    <mergeCell ref="AJ33:AS33"/>
    <mergeCell ref="AT33:AW34"/>
    <mergeCell ref="AX33:AY33"/>
    <mergeCell ref="Y27:AI27"/>
    <mergeCell ref="AJ27:AS27"/>
    <mergeCell ref="AX27:AY27"/>
    <mergeCell ref="AX25:AY25"/>
    <mergeCell ref="BA25:BP25"/>
    <mergeCell ref="BQ25:CJ25"/>
    <mergeCell ref="BA26:BP26"/>
    <mergeCell ref="BQ26:CJ26"/>
    <mergeCell ref="BA28:BG28"/>
    <mergeCell ref="BI28:BP28"/>
    <mergeCell ref="BQ28:BZ28"/>
    <mergeCell ref="CA28:CJ28"/>
    <mergeCell ref="BA27:BP27"/>
    <mergeCell ref="BQ27:CJ27"/>
    <mergeCell ref="CA24:CJ24"/>
    <mergeCell ref="AT23:AW24"/>
    <mergeCell ref="AX23:AY23"/>
    <mergeCell ref="BA23:BP23"/>
    <mergeCell ref="BQ23:CJ23"/>
    <mergeCell ref="CP23:CQ23"/>
    <mergeCell ref="E26:F26"/>
    <mergeCell ref="R26:T26"/>
    <mergeCell ref="U26:X26"/>
    <mergeCell ref="Y26:AS26"/>
    <mergeCell ref="AX26:AY26"/>
    <mergeCell ref="E25:F25"/>
    <mergeCell ref="H25:P26"/>
    <mergeCell ref="R25:T25"/>
    <mergeCell ref="U25:X25"/>
    <mergeCell ref="Y25:AS25"/>
    <mergeCell ref="AT25:AW28"/>
    <mergeCell ref="E28:F28"/>
    <mergeCell ref="CP27:CQ27"/>
    <mergeCell ref="CP26:CQ26"/>
    <mergeCell ref="CP25:CQ25"/>
    <mergeCell ref="E27:F27"/>
    <mergeCell ref="H27:P27"/>
    <mergeCell ref="R27:X27"/>
    <mergeCell ref="E8:F8"/>
    <mergeCell ref="H8:U8"/>
    <mergeCell ref="V8:AH8"/>
    <mergeCell ref="AI8:AS8"/>
    <mergeCell ref="Q11:U11"/>
    <mergeCell ref="V11:AC11"/>
    <mergeCell ref="BA24:BG24"/>
    <mergeCell ref="BI24:BP24"/>
    <mergeCell ref="BQ24:BZ24"/>
    <mergeCell ref="BQ22:CJ22"/>
    <mergeCell ref="AX21:AY21"/>
    <mergeCell ref="BA21:BP21"/>
    <mergeCell ref="BQ21:CJ21"/>
    <mergeCell ref="BA17:BP17"/>
    <mergeCell ref="BQ17:CJ17"/>
    <mergeCell ref="E22:F22"/>
    <mergeCell ref="H22:P22"/>
    <mergeCell ref="Q22:U22"/>
    <mergeCell ref="V22:AC22"/>
    <mergeCell ref="AD22:AK22"/>
    <mergeCell ref="BI20:BP20"/>
    <mergeCell ref="BQ20:BZ20"/>
    <mergeCell ref="CA20:CJ20"/>
    <mergeCell ref="E21:F21"/>
    <mergeCell ref="CP22:CQ22"/>
    <mergeCell ref="CP21:CQ21"/>
    <mergeCell ref="A24:D28"/>
    <mergeCell ref="E24:F24"/>
    <mergeCell ref="H24:T24"/>
    <mergeCell ref="U24:X24"/>
    <mergeCell ref="Y24:AS24"/>
    <mergeCell ref="AX24:AY24"/>
    <mergeCell ref="E23:F23"/>
    <mergeCell ref="H23:P23"/>
    <mergeCell ref="Q23:U23"/>
    <mergeCell ref="V23:AC23"/>
    <mergeCell ref="AD23:AK23"/>
    <mergeCell ref="AL23:AS23"/>
    <mergeCell ref="H28:P28"/>
    <mergeCell ref="R28:X28"/>
    <mergeCell ref="Y28:AI28"/>
    <mergeCell ref="AJ28:AS28"/>
    <mergeCell ref="AX28:AY28"/>
    <mergeCell ref="A8:D23"/>
    <mergeCell ref="BA19:BP19"/>
    <mergeCell ref="BQ19:CJ19"/>
    <mergeCell ref="AT17:AW20"/>
    <mergeCell ref="AX17:AY17"/>
    <mergeCell ref="H21:P21"/>
    <mergeCell ref="Q21:U21"/>
    <mergeCell ref="V21:AC21"/>
    <mergeCell ref="AD21:AK21"/>
    <mergeCell ref="AL21:AS21"/>
    <mergeCell ref="AT21:AW22"/>
    <mergeCell ref="AL22:AS22"/>
    <mergeCell ref="AX22:AY22"/>
    <mergeCell ref="BA22:BP22"/>
    <mergeCell ref="CP18:CQ18"/>
    <mergeCell ref="CP17:CQ17"/>
    <mergeCell ref="E18:F18"/>
    <mergeCell ref="H18:P18"/>
    <mergeCell ref="Q18:U18"/>
    <mergeCell ref="V18:AC18"/>
    <mergeCell ref="AD18:AK18"/>
    <mergeCell ref="AL18:AS18"/>
    <mergeCell ref="E20:F20"/>
    <mergeCell ref="H20:P20"/>
    <mergeCell ref="Q20:U20"/>
    <mergeCell ref="V20:AC20"/>
    <mergeCell ref="AD20:AK20"/>
    <mergeCell ref="AL20:AS20"/>
    <mergeCell ref="AX20:AY20"/>
    <mergeCell ref="BA20:BG20"/>
    <mergeCell ref="CP19:CQ19"/>
    <mergeCell ref="E19:F19"/>
    <mergeCell ref="H19:P19"/>
    <mergeCell ref="Q19:U19"/>
    <mergeCell ref="V19:AC19"/>
    <mergeCell ref="AD19:AK19"/>
    <mergeCell ref="AL19:AS19"/>
    <mergeCell ref="AX19:AY19"/>
    <mergeCell ref="AX18:AY18"/>
    <mergeCell ref="BA18:BP18"/>
    <mergeCell ref="BQ18:CJ18"/>
    <mergeCell ref="BA16:BP16"/>
    <mergeCell ref="BQ16:CJ16"/>
    <mergeCell ref="E17:F17"/>
    <mergeCell ref="H17:P17"/>
    <mergeCell ref="Q17:U17"/>
    <mergeCell ref="V17:AC17"/>
    <mergeCell ref="AD17:AK17"/>
    <mergeCell ref="AL17:AS17"/>
    <mergeCell ref="E16:F16"/>
    <mergeCell ref="H16:P16"/>
    <mergeCell ref="Q16:U16"/>
    <mergeCell ref="V16:AC16"/>
    <mergeCell ref="AD16:AK16"/>
    <mergeCell ref="AL16:AS16"/>
    <mergeCell ref="AX16:AY16"/>
    <mergeCell ref="CP15:CQ15"/>
    <mergeCell ref="CP14:CQ14"/>
    <mergeCell ref="BQ14:CJ14"/>
    <mergeCell ref="E15:F15"/>
    <mergeCell ref="H15:P15"/>
    <mergeCell ref="Q15:U15"/>
    <mergeCell ref="V15:AC15"/>
    <mergeCell ref="AD15:AK15"/>
    <mergeCell ref="AL15:AS15"/>
    <mergeCell ref="AX15:AY15"/>
    <mergeCell ref="BA15:BP15"/>
    <mergeCell ref="BQ15:CJ15"/>
    <mergeCell ref="AD14:AK14"/>
    <mergeCell ref="AL14:AS14"/>
    <mergeCell ref="AT14:AW16"/>
    <mergeCell ref="AX14:AY14"/>
    <mergeCell ref="BA14:BP14"/>
    <mergeCell ref="CP16:CQ16"/>
    <mergeCell ref="AL12:AS12"/>
    <mergeCell ref="AX12:AY12"/>
    <mergeCell ref="AL13:AS13"/>
    <mergeCell ref="AX13:AY13"/>
    <mergeCell ref="BA13:BP13"/>
    <mergeCell ref="BQ13:CJ13"/>
    <mergeCell ref="CP13:CQ13"/>
    <mergeCell ref="E14:F14"/>
    <mergeCell ref="H14:P14"/>
    <mergeCell ref="Q14:U14"/>
    <mergeCell ref="V14:AC14"/>
    <mergeCell ref="CP12:CQ12"/>
    <mergeCell ref="BA12:BP12"/>
    <mergeCell ref="BQ12:CJ12"/>
    <mergeCell ref="AT8:AW13"/>
    <mergeCell ref="AX8:AY8"/>
    <mergeCell ref="BA8:BP8"/>
    <mergeCell ref="BQ8:CJ8"/>
    <mergeCell ref="BA11:BP11"/>
    <mergeCell ref="BQ11:CJ11"/>
    <mergeCell ref="CA10:CJ10"/>
    <mergeCell ref="E9:F9"/>
    <mergeCell ref="G9:U9"/>
    <mergeCell ref="V9:AC9"/>
    <mergeCell ref="AD9:AK9"/>
    <mergeCell ref="AD11:AK11"/>
    <mergeCell ref="AL11:AS11"/>
    <mergeCell ref="AX11:AY11"/>
    <mergeCell ref="AL9:AS9"/>
    <mergeCell ref="AX9:AY9"/>
    <mergeCell ref="H11:P11"/>
    <mergeCell ref="E10:F10"/>
    <mergeCell ref="H10:P10"/>
    <mergeCell ref="Q10:U10"/>
    <mergeCell ref="V10:AC10"/>
    <mergeCell ref="AD10:AK10"/>
    <mergeCell ref="AL10:AS10"/>
    <mergeCell ref="AX10:AY10"/>
    <mergeCell ref="E13:F13"/>
    <mergeCell ref="H13:P13"/>
    <mergeCell ref="Q13:U13"/>
    <mergeCell ref="V13:AC13"/>
    <mergeCell ref="E12:F12"/>
    <mergeCell ref="H12:P12"/>
    <mergeCell ref="Q12:U12"/>
    <mergeCell ref="V12:AC12"/>
    <mergeCell ref="AD12:AK12"/>
    <mergeCell ref="AD13:AK13"/>
    <mergeCell ref="CP40:CQ40"/>
    <mergeCell ref="CM3:CQ6"/>
    <mergeCell ref="A1:Z6"/>
    <mergeCell ref="AA1:BW1"/>
    <mergeCell ref="BX1:CC1"/>
    <mergeCell ref="CD1:CJ1"/>
    <mergeCell ref="AJ2:CJ2"/>
    <mergeCell ref="AJ3:CJ3"/>
    <mergeCell ref="AA4:AH4"/>
    <mergeCell ref="AA6:AH6"/>
    <mergeCell ref="AJ6:BN6"/>
    <mergeCell ref="BX6:CJ6"/>
    <mergeCell ref="AJ4:CJ4"/>
    <mergeCell ref="AA5:AH5"/>
    <mergeCell ref="AJ5:BN5"/>
    <mergeCell ref="BX5:CJ5"/>
    <mergeCell ref="CP9:CQ9"/>
    <mergeCell ref="CP11:CQ11"/>
    <mergeCell ref="BA9:BP9"/>
    <mergeCell ref="BQ9:CJ9"/>
    <mergeCell ref="E11:F11"/>
    <mergeCell ref="BA10:BG10"/>
    <mergeCell ref="BI10:BP10"/>
    <mergeCell ref="BQ10:BZ10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C842F-EC76-4DC7-A981-6587F982AD62}">
  <dimension ref="A1:Q75"/>
  <sheetViews>
    <sheetView topLeftCell="G1" zoomScaleNormal="100" workbookViewId="0">
      <pane ySplit="3" topLeftCell="A4" activePane="bottomLeft" state="frozen"/>
      <selection pane="bottomLeft" activeCell="I5" sqref="I5"/>
    </sheetView>
  </sheetViews>
  <sheetFormatPr defaultColWidth="9" defaultRowHeight="17"/>
  <cols>
    <col min="1" max="1" width="15.75" style="106" bestFit="1" customWidth="1"/>
    <col min="2" max="2" width="13.5" style="2" bestFit="1" customWidth="1"/>
    <col min="3" max="3" width="18" style="2" bestFit="1" customWidth="1"/>
    <col min="4" max="4" width="14.83203125" style="2" bestFit="1" customWidth="1"/>
    <col min="5" max="5" width="23.75" style="2" bestFit="1" customWidth="1"/>
    <col min="6" max="6" width="18.08203125" style="2" bestFit="1" customWidth="1"/>
    <col min="7" max="7" width="15.75" style="2" bestFit="1" customWidth="1"/>
    <col min="8" max="8" width="15.5" style="2" bestFit="1" customWidth="1"/>
    <col min="9" max="9" width="12.58203125" style="2" bestFit="1" customWidth="1"/>
    <col min="10" max="10" width="12.75" style="2" bestFit="1" customWidth="1"/>
    <col min="11" max="11" width="10.58203125" style="2" bestFit="1" customWidth="1"/>
    <col min="12" max="12" width="10.5" style="2" bestFit="1" customWidth="1"/>
    <col min="13" max="13" width="18.08203125" style="2" bestFit="1" customWidth="1"/>
    <col min="14" max="14" width="16.33203125" style="2" bestFit="1" customWidth="1"/>
    <col min="15" max="15" width="17.75" style="2" bestFit="1" customWidth="1"/>
    <col min="16" max="16" width="25.08203125" style="2" bestFit="1" customWidth="1"/>
    <col min="17" max="17" width="14.25" style="2" bestFit="1" customWidth="1"/>
    <col min="18" max="16384" width="9" style="2"/>
  </cols>
  <sheetData>
    <row r="1" spans="1:17" ht="38.5" customHeight="1">
      <c r="A1" s="401" t="s">
        <v>572</v>
      </c>
      <c r="B1" s="401"/>
      <c r="C1" s="401"/>
      <c r="D1" s="401"/>
      <c r="E1" s="401"/>
      <c r="F1" s="401"/>
      <c r="G1" s="401" t="s">
        <v>573</v>
      </c>
      <c r="H1" s="401"/>
      <c r="I1" s="401"/>
      <c r="J1" s="401"/>
      <c r="K1" s="401"/>
      <c r="L1" s="401"/>
      <c r="M1" s="401"/>
      <c r="N1" s="401" t="s">
        <v>571</v>
      </c>
      <c r="O1" s="405"/>
      <c r="P1" s="113"/>
      <c r="Q1" s="113"/>
    </row>
    <row r="2" spans="1:17">
      <c r="A2" s="400" t="s">
        <v>446</v>
      </c>
      <c r="B2" s="76" t="s">
        <v>486</v>
      </c>
      <c r="C2" s="402" t="s">
        <v>487</v>
      </c>
      <c r="D2" s="403"/>
      <c r="E2" s="403"/>
      <c r="F2" s="404"/>
      <c r="G2" s="400" t="s">
        <v>446</v>
      </c>
      <c r="H2" s="399" t="s">
        <v>486</v>
      </c>
      <c r="I2" s="399"/>
      <c r="J2" s="402" t="s">
        <v>487</v>
      </c>
      <c r="K2" s="403"/>
      <c r="L2" s="403"/>
      <c r="M2" s="404"/>
      <c r="N2" s="76" t="s">
        <v>486</v>
      </c>
      <c r="O2" s="399" t="s">
        <v>487</v>
      </c>
      <c r="P2" s="399"/>
      <c r="Q2" s="399"/>
    </row>
    <row r="3" spans="1:17">
      <c r="A3" s="400"/>
      <c r="B3" s="85" t="s">
        <v>547</v>
      </c>
      <c r="C3" s="85" t="s">
        <v>216</v>
      </c>
      <c r="D3" s="85" t="s">
        <v>454</v>
      </c>
      <c r="E3" s="85" t="s">
        <v>455</v>
      </c>
      <c r="F3" s="112" t="s">
        <v>557</v>
      </c>
      <c r="G3" s="400"/>
      <c r="H3" s="85" t="s">
        <v>565</v>
      </c>
      <c r="I3" s="85" t="s">
        <v>548</v>
      </c>
      <c r="J3" s="112" t="s">
        <v>569</v>
      </c>
      <c r="K3" s="112" t="s">
        <v>447</v>
      </c>
      <c r="L3" s="112" t="s">
        <v>448</v>
      </c>
      <c r="M3" s="112" t="s">
        <v>555</v>
      </c>
      <c r="N3" s="85" t="s">
        <v>485</v>
      </c>
      <c r="O3" s="85" t="s">
        <v>465</v>
      </c>
      <c r="P3" s="85" t="s">
        <v>466</v>
      </c>
      <c r="Q3" s="85" t="s">
        <v>243</v>
      </c>
    </row>
    <row r="4" spans="1:17" ht="16.5" customHeight="1">
      <c r="A4" s="398" t="s">
        <v>456</v>
      </c>
      <c r="B4" s="104" t="s">
        <v>449</v>
      </c>
      <c r="C4" s="73" t="s">
        <v>449</v>
      </c>
      <c r="D4" s="73"/>
      <c r="E4" s="73"/>
      <c r="F4" s="73" t="s">
        <v>556</v>
      </c>
      <c r="G4" s="398" t="s">
        <v>456</v>
      </c>
      <c r="H4" s="109" t="s">
        <v>570</v>
      </c>
      <c r="I4" s="107" t="s">
        <v>588</v>
      </c>
      <c r="J4" s="73" t="s">
        <v>331</v>
      </c>
      <c r="K4" s="114">
        <v>1.4</v>
      </c>
      <c r="L4" s="119">
        <v>2.8</v>
      </c>
      <c r="M4" s="73" t="s">
        <v>559</v>
      </c>
      <c r="N4" s="103" t="s">
        <v>238</v>
      </c>
      <c r="O4" s="73" t="s">
        <v>238</v>
      </c>
      <c r="P4" s="73" t="s">
        <v>238</v>
      </c>
      <c r="Q4" s="73" t="s">
        <v>238</v>
      </c>
    </row>
    <row r="5" spans="1:17">
      <c r="A5" s="398"/>
      <c r="B5" s="105" t="s">
        <v>336</v>
      </c>
      <c r="C5" s="73" t="s">
        <v>336</v>
      </c>
      <c r="D5" s="63" t="s">
        <v>323</v>
      </c>
      <c r="E5" s="63" t="s">
        <v>324</v>
      </c>
      <c r="F5" s="73" t="s">
        <v>556</v>
      </c>
      <c r="G5" s="398"/>
      <c r="H5" s="109" t="s">
        <v>566</v>
      </c>
      <c r="I5" s="107" t="s">
        <v>589</v>
      </c>
      <c r="J5" s="114" t="s">
        <v>330</v>
      </c>
      <c r="K5" s="114">
        <v>1.4</v>
      </c>
      <c r="L5" s="114">
        <v>0.7</v>
      </c>
      <c r="M5" s="114" t="s">
        <v>559</v>
      </c>
      <c r="N5" s="103" t="s">
        <v>574</v>
      </c>
      <c r="O5" s="63" t="s">
        <v>574</v>
      </c>
      <c r="P5" s="63" t="s">
        <v>328</v>
      </c>
      <c r="Q5" s="63" t="s">
        <v>324</v>
      </c>
    </row>
    <row r="6" spans="1:17">
      <c r="A6" s="398"/>
      <c r="B6" s="105" t="s">
        <v>450</v>
      </c>
      <c r="C6" s="73" t="s">
        <v>450</v>
      </c>
      <c r="D6" s="63" t="s">
        <v>323</v>
      </c>
      <c r="E6" s="63" t="s">
        <v>324</v>
      </c>
      <c r="F6" s="73" t="s">
        <v>556</v>
      </c>
      <c r="G6" s="398"/>
      <c r="H6" s="109" t="s">
        <v>566</v>
      </c>
      <c r="I6" s="108" t="s">
        <v>553</v>
      </c>
      <c r="J6" s="114"/>
      <c r="K6" s="114"/>
      <c r="L6" s="114"/>
      <c r="M6" s="114" t="s">
        <v>560</v>
      </c>
      <c r="N6" s="103" t="s">
        <v>586</v>
      </c>
      <c r="O6" s="63" t="s">
        <v>319</v>
      </c>
      <c r="P6" s="63" t="s">
        <v>328</v>
      </c>
      <c r="Q6" s="63" t="s">
        <v>324</v>
      </c>
    </row>
    <row r="7" spans="1:17">
      <c r="A7" s="398"/>
      <c r="B7" s="105" t="s">
        <v>244</v>
      </c>
      <c r="C7" s="73" t="s">
        <v>451</v>
      </c>
      <c r="D7" s="63" t="s">
        <v>323</v>
      </c>
      <c r="E7" s="63" t="s">
        <v>324</v>
      </c>
      <c r="F7" s="73" t="s">
        <v>556</v>
      </c>
      <c r="G7" s="398"/>
      <c r="H7" s="109" t="s">
        <v>566</v>
      </c>
      <c r="I7" s="108" t="s">
        <v>554</v>
      </c>
      <c r="J7" s="63"/>
      <c r="K7" s="63"/>
      <c r="L7" s="63"/>
      <c r="M7" s="63"/>
      <c r="N7" s="103" t="s">
        <v>320</v>
      </c>
      <c r="O7" s="63" t="s">
        <v>483</v>
      </c>
      <c r="P7" s="63" t="s">
        <v>344</v>
      </c>
      <c r="Q7" s="63" t="s">
        <v>325</v>
      </c>
    </row>
    <row r="8" spans="1:17">
      <c r="A8" s="398"/>
      <c r="B8" s="104" t="s">
        <v>245</v>
      </c>
      <c r="C8" s="73" t="s">
        <v>452</v>
      </c>
      <c r="D8" s="63" t="s">
        <v>323</v>
      </c>
      <c r="E8" s="63" t="s">
        <v>324</v>
      </c>
      <c r="F8" s="73" t="s">
        <v>556</v>
      </c>
      <c r="G8" s="399" t="s">
        <v>246</v>
      </c>
      <c r="H8" s="109" t="s">
        <v>246</v>
      </c>
      <c r="I8" s="107" t="s">
        <v>588</v>
      </c>
      <c r="J8" s="114" t="s">
        <v>453</v>
      </c>
      <c r="K8" s="114">
        <v>2</v>
      </c>
      <c r="L8" s="114">
        <v>3.5</v>
      </c>
      <c r="M8" s="73" t="s">
        <v>559</v>
      </c>
      <c r="N8" s="103" t="s">
        <v>575</v>
      </c>
      <c r="O8" s="63" t="s">
        <v>577</v>
      </c>
      <c r="P8" s="63" t="s">
        <v>328</v>
      </c>
      <c r="Q8" s="63" t="s">
        <v>324</v>
      </c>
    </row>
    <row r="9" spans="1:17">
      <c r="A9" s="399" t="s">
        <v>246</v>
      </c>
      <c r="B9" s="104" t="s">
        <v>585</v>
      </c>
      <c r="C9" s="63" t="s">
        <v>502</v>
      </c>
      <c r="D9" s="63" t="s">
        <v>344</v>
      </c>
      <c r="E9" s="63" t="s">
        <v>503</v>
      </c>
      <c r="F9" s="63" t="s">
        <v>558</v>
      </c>
      <c r="G9" s="399"/>
      <c r="H9" s="109" t="s">
        <v>246</v>
      </c>
      <c r="I9" s="107" t="s">
        <v>587</v>
      </c>
      <c r="J9" s="114" t="s">
        <v>493</v>
      </c>
      <c r="K9" s="114">
        <v>3.5</v>
      </c>
      <c r="L9" s="114">
        <v>2</v>
      </c>
      <c r="M9" s="114" t="s">
        <v>559</v>
      </c>
      <c r="N9" s="103" t="s">
        <v>576</v>
      </c>
      <c r="O9" s="63" t="s">
        <v>327</v>
      </c>
      <c r="P9" s="63" t="s">
        <v>328</v>
      </c>
      <c r="Q9" s="63" t="s">
        <v>324</v>
      </c>
    </row>
    <row r="10" spans="1:17">
      <c r="A10" s="399"/>
      <c r="B10" s="104" t="s">
        <v>247</v>
      </c>
      <c r="C10" s="63" t="s">
        <v>504</v>
      </c>
      <c r="D10" s="63" t="s">
        <v>344</v>
      </c>
      <c r="E10" s="63" t="s">
        <v>325</v>
      </c>
      <c r="F10" s="63" t="s">
        <v>558</v>
      </c>
      <c r="G10" s="399"/>
      <c r="H10" s="109" t="s">
        <v>246</v>
      </c>
      <c r="I10" s="108" t="s">
        <v>553</v>
      </c>
      <c r="J10" s="114" t="s">
        <v>333</v>
      </c>
      <c r="K10" s="114">
        <v>4</v>
      </c>
      <c r="L10" s="114">
        <v>4</v>
      </c>
      <c r="M10" s="114" t="s">
        <v>560</v>
      </c>
      <c r="N10" s="103" t="s">
        <v>321</v>
      </c>
      <c r="O10" s="63" t="s">
        <v>484</v>
      </c>
      <c r="P10" s="63" t="s">
        <v>344</v>
      </c>
      <c r="Q10" s="63" t="s">
        <v>325</v>
      </c>
    </row>
    <row r="11" spans="1:17">
      <c r="A11" s="399"/>
      <c r="B11" s="104" t="s">
        <v>248</v>
      </c>
      <c r="C11" s="63" t="s">
        <v>497</v>
      </c>
      <c r="D11" s="63" t="s">
        <v>326</v>
      </c>
      <c r="E11" s="63" t="s">
        <v>324</v>
      </c>
      <c r="F11" s="63" t="s">
        <v>558</v>
      </c>
      <c r="G11" s="399"/>
      <c r="H11" s="109" t="s">
        <v>246</v>
      </c>
      <c r="I11" s="108" t="s">
        <v>554</v>
      </c>
      <c r="J11" s="63"/>
      <c r="K11" s="63"/>
      <c r="L11" s="63"/>
      <c r="M11" s="63"/>
      <c r="N11" s="102" t="s">
        <v>567</v>
      </c>
      <c r="O11" s="63"/>
      <c r="P11" s="63"/>
      <c r="Q11" s="63"/>
    </row>
    <row r="12" spans="1:17">
      <c r="A12" s="399"/>
      <c r="B12" s="104" t="s">
        <v>249</v>
      </c>
      <c r="C12" s="63" t="s">
        <v>498</v>
      </c>
      <c r="D12" s="63" t="s">
        <v>323</v>
      </c>
      <c r="E12" s="63" t="s">
        <v>324</v>
      </c>
      <c r="F12" s="63" t="s">
        <v>558</v>
      </c>
      <c r="G12" s="399" t="s">
        <v>252</v>
      </c>
      <c r="H12" s="109" t="s">
        <v>252</v>
      </c>
      <c r="I12" s="107" t="s">
        <v>588</v>
      </c>
      <c r="J12" s="114" t="s">
        <v>331</v>
      </c>
      <c r="K12" s="114">
        <v>2.5</v>
      </c>
      <c r="L12" s="114">
        <v>3.5</v>
      </c>
      <c r="M12" s="73" t="s">
        <v>559</v>
      </c>
    </row>
    <row r="13" spans="1:17">
      <c r="A13" s="399"/>
      <c r="B13" s="104" t="s">
        <v>250</v>
      </c>
      <c r="C13" s="63" t="s">
        <v>551</v>
      </c>
      <c r="D13" s="63" t="s">
        <v>323</v>
      </c>
      <c r="E13" s="63" t="s">
        <v>324</v>
      </c>
      <c r="F13" s="63" t="s">
        <v>558</v>
      </c>
      <c r="G13" s="399"/>
      <c r="H13" s="109" t="s">
        <v>252</v>
      </c>
      <c r="I13" s="107" t="s">
        <v>587</v>
      </c>
      <c r="J13" s="114" t="s">
        <v>330</v>
      </c>
      <c r="K13" s="114">
        <v>3.5</v>
      </c>
      <c r="L13" s="114">
        <v>2.5</v>
      </c>
      <c r="M13" s="114" t="s">
        <v>559</v>
      </c>
    </row>
    <row r="14" spans="1:17">
      <c r="A14" s="399"/>
      <c r="B14" s="104" t="s">
        <v>251</v>
      </c>
      <c r="C14" s="63" t="s">
        <v>499</v>
      </c>
      <c r="D14" s="63" t="s">
        <v>323</v>
      </c>
      <c r="E14" s="63" t="s">
        <v>324</v>
      </c>
      <c r="F14" s="63" t="s">
        <v>558</v>
      </c>
      <c r="G14" s="399"/>
      <c r="H14" s="109" t="s">
        <v>252</v>
      </c>
      <c r="I14" s="108" t="s">
        <v>553</v>
      </c>
      <c r="J14" s="114" t="s">
        <v>333</v>
      </c>
      <c r="K14" s="114">
        <v>4</v>
      </c>
      <c r="L14" s="114">
        <v>4</v>
      </c>
      <c r="M14" s="114" t="s">
        <v>560</v>
      </c>
    </row>
    <row r="15" spans="1:17">
      <c r="A15" s="399" t="s">
        <v>252</v>
      </c>
      <c r="B15" s="105" t="s">
        <v>253</v>
      </c>
      <c r="C15" s="63" t="s">
        <v>253</v>
      </c>
      <c r="D15" s="63" t="s">
        <v>323</v>
      </c>
      <c r="E15" s="63" t="s">
        <v>324</v>
      </c>
      <c r="F15" s="63" t="s">
        <v>558</v>
      </c>
      <c r="G15" s="399"/>
      <c r="H15" s="109" t="s">
        <v>252</v>
      </c>
      <c r="I15" s="108" t="s">
        <v>554</v>
      </c>
      <c r="J15" s="63"/>
      <c r="K15" s="63"/>
      <c r="L15" s="63"/>
      <c r="M15" s="63"/>
    </row>
    <row r="16" spans="1:17">
      <c r="A16" s="399"/>
      <c r="B16" s="104" t="s">
        <v>254</v>
      </c>
      <c r="C16" s="63" t="s">
        <v>550</v>
      </c>
      <c r="D16" s="63" t="s">
        <v>323</v>
      </c>
      <c r="E16" s="63" t="s">
        <v>324</v>
      </c>
      <c r="F16" s="63" t="s">
        <v>558</v>
      </c>
      <c r="G16" s="399" t="s">
        <v>260</v>
      </c>
      <c r="H16" s="109" t="s">
        <v>260</v>
      </c>
      <c r="I16" s="107" t="s">
        <v>588</v>
      </c>
      <c r="J16" s="114" t="s">
        <v>331</v>
      </c>
      <c r="K16" s="114">
        <v>1.2</v>
      </c>
      <c r="L16" s="114">
        <v>2.4</v>
      </c>
      <c r="M16" s="73" t="s">
        <v>559</v>
      </c>
    </row>
    <row r="17" spans="1:13">
      <c r="A17" s="399"/>
      <c r="B17" s="105" t="s">
        <v>255</v>
      </c>
      <c r="C17" s="63" t="s">
        <v>255</v>
      </c>
      <c r="D17" s="63" t="s">
        <v>323</v>
      </c>
      <c r="E17" s="63" t="s">
        <v>324</v>
      </c>
      <c r="F17" s="63" t="s">
        <v>558</v>
      </c>
      <c r="G17" s="399"/>
      <c r="H17" s="109" t="s">
        <v>260</v>
      </c>
      <c r="I17" s="107" t="s">
        <v>587</v>
      </c>
      <c r="J17" s="114" t="s">
        <v>493</v>
      </c>
      <c r="K17" s="114">
        <v>2</v>
      </c>
      <c r="L17" s="114">
        <v>1.2</v>
      </c>
      <c r="M17" s="114" t="s">
        <v>559</v>
      </c>
    </row>
    <row r="18" spans="1:13">
      <c r="A18" s="399"/>
      <c r="B18" s="105" t="s">
        <v>494</v>
      </c>
      <c r="C18" s="63" t="s">
        <v>500</v>
      </c>
      <c r="D18" s="63" t="s">
        <v>323</v>
      </c>
      <c r="E18" s="63" t="s">
        <v>324</v>
      </c>
      <c r="F18" s="63" t="s">
        <v>558</v>
      </c>
      <c r="G18" s="399"/>
      <c r="H18" s="109" t="s">
        <v>260</v>
      </c>
      <c r="I18" s="108" t="s">
        <v>553</v>
      </c>
      <c r="J18" s="114"/>
      <c r="K18" s="114"/>
      <c r="L18" s="114"/>
      <c r="M18" s="114" t="s">
        <v>560</v>
      </c>
    </row>
    <row r="19" spans="1:13">
      <c r="A19" s="399"/>
      <c r="B19" s="105" t="s">
        <v>256</v>
      </c>
      <c r="C19" s="63" t="s">
        <v>329</v>
      </c>
      <c r="D19" s="63" t="s">
        <v>323</v>
      </c>
      <c r="E19" s="63" t="s">
        <v>324</v>
      </c>
      <c r="F19" s="63" t="s">
        <v>558</v>
      </c>
      <c r="G19" s="399"/>
      <c r="H19" s="109" t="s">
        <v>260</v>
      </c>
      <c r="I19" s="108" t="s">
        <v>554</v>
      </c>
      <c r="J19" s="63"/>
      <c r="K19" s="63"/>
      <c r="L19" s="63"/>
      <c r="M19" s="63"/>
    </row>
    <row r="20" spans="1:13">
      <c r="A20" s="399"/>
      <c r="B20" s="104" t="s">
        <v>257</v>
      </c>
      <c r="C20" s="63" t="s">
        <v>506</v>
      </c>
      <c r="D20" s="63"/>
      <c r="E20" s="63"/>
      <c r="F20" s="63" t="s">
        <v>558</v>
      </c>
      <c r="G20" s="399" t="s">
        <v>265</v>
      </c>
      <c r="H20" s="109" t="s">
        <v>265</v>
      </c>
      <c r="I20" s="107" t="s">
        <v>588</v>
      </c>
      <c r="J20" s="73" t="s">
        <v>331</v>
      </c>
      <c r="K20" s="73"/>
      <c r="L20" s="73"/>
      <c r="M20" s="73" t="s">
        <v>559</v>
      </c>
    </row>
    <row r="21" spans="1:13">
      <c r="A21" s="399"/>
      <c r="B21" s="104" t="s">
        <v>258</v>
      </c>
      <c r="C21" s="63" t="s">
        <v>507</v>
      </c>
      <c r="D21" s="63"/>
      <c r="E21" s="63"/>
      <c r="F21" s="63" t="s">
        <v>558</v>
      </c>
      <c r="G21" s="399"/>
      <c r="H21" s="109" t="s">
        <v>265</v>
      </c>
      <c r="I21" s="107" t="s">
        <v>587</v>
      </c>
      <c r="J21" s="114" t="s">
        <v>493</v>
      </c>
      <c r="K21" s="114">
        <v>3.5</v>
      </c>
      <c r="L21" s="114">
        <v>2</v>
      </c>
      <c r="M21" s="114" t="s">
        <v>559</v>
      </c>
    </row>
    <row r="22" spans="1:13">
      <c r="A22" s="399"/>
      <c r="B22" s="104" t="s">
        <v>259</v>
      </c>
      <c r="C22" s="63" t="s">
        <v>508</v>
      </c>
      <c r="D22" s="63"/>
      <c r="E22" s="63"/>
      <c r="F22" s="63" t="s">
        <v>558</v>
      </c>
      <c r="G22" s="399"/>
      <c r="H22" s="109" t="s">
        <v>265</v>
      </c>
      <c r="I22" s="108" t="s">
        <v>553</v>
      </c>
      <c r="J22" s="114"/>
      <c r="K22" s="114"/>
      <c r="L22" s="114"/>
      <c r="M22" s="114" t="s">
        <v>560</v>
      </c>
    </row>
    <row r="23" spans="1:13">
      <c r="A23" s="399" t="s">
        <v>260</v>
      </c>
      <c r="B23" s="104" t="s">
        <v>261</v>
      </c>
      <c r="C23" s="63" t="s">
        <v>261</v>
      </c>
      <c r="D23" s="63" t="s">
        <v>323</v>
      </c>
      <c r="E23" s="63" t="s">
        <v>324</v>
      </c>
      <c r="F23" s="63" t="s">
        <v>556</v>
      </c>
      <c r="G23" s="399"/>
      <c r="H23" s="109" t="s">
        <v>265</v>
      </c>
      <c r="I23" s="108" t="s">
        <v>554</v>
      </c>
      <c r="J23" s="63"/>
      <c r="K23" s="63"/>
      <c r="L23" s="63"/>
      <c r="M23" s="63"/>
    </row>
    <row r="24" spans="1:13">
      <c r="A24" s="399"/>
      <c r="B24" s="104" t="s">
        <v>262</v>
      </c>
      <c r="C24" s="63" t="s">
        <v>262</v>
      </c>
      <c r="D24" s="63" t="s">
        <v>323</v>
      </c>
      <c r="E24" s="63" t="s">
        <v>324</v>
      </c>
      <c r="F24" s="63" t="s">
        <v>556</v>
      </c>
      <c r="G24" s="399" t="s">
        <v>270</v>
      </c>
      <c r="H24" s="109" t="s">
        <v>270</v>
      </c>
      <c r="I24" s="107" t="s">
        <v>588</v>
      </c>
      <c r="J24" s="114" t="s">
        <v>331</v>
      </c>
      <c r="K24" s="114" t="s">
        <v>347</v>
      </c>
      <c r="L24" s="114" t="s">
        <v>346</v>
      </c>
      <c r="M24" s="63" t="s">
        <v>568</v>
      </c>
    </row>
    <row r="25" spans="1:13">
      <c r="A25" s="399"/>
      <c r="B25" s="104" t="s">
        <v>263</v>
      </c>
      <c r="C25" s="63" t="s">
        <v>263</v>
      </c>
      <c r="D25" s="63" t="s">
        <v>323</v>
      </c>
      <c r="E25" s="63" t="s">
        <v>324</v>
      </c>
      <c r="F25" s="63" t="s">
        <v>556</v>
      </c>
      <c r="G25" s="399"/>
      <c r="H25" s="109" t="s">
        <v>270</v>
      </c>
      <c r="I25" s="107" t="s">
        <v>587</v>
      </c>
      <c r="J25" s="114" t="s">
        <v>330</v>
      </c>
      <c r="K25" s="114" t="s">
        <v>346</v>
      </c>
      <c r="L25" s="114" t="s">
        <v>347</v>
      </c>
      <c r="M25" s="63" t="s">
        <v>568</v>
      </c>
    </row>
    <row r="26" spans="1:13">
      <c r="A26" s="399"/>
      <c r="B26" s="104" t="s">
        <v>264</v>
      </c>
      <c r="C26" s="63" t="s">
        <v>264</v>
      </c>
      <c r="D26" s="63"/>
      <c r="E26" s="63"/>
      <c r="F26" s="63" t="s">
        <v>556</v>
      </c>
      <c r="G26" s="399"/>
      <c r="H26" s="109" t="s">
        <v>270</v>
      </c>
      <c r="I26" s="108" t="s">
        <v>553</v>
      </c>
      <c r="J26" s="114"/>
      <c r="K26" s="114"/>
      <c r="L26" s="114"/>
      <c r="M26" s="63" t="s">
        <v>568</v>
      </c>
    </row>
    <row r="27" spans="1:13">
      <c r="A27" s="395" t="s">
        <v>265</v>
      </c>
      <c r="B27" s="104" t="s">
        <v>266</v>
      </c>
      <c r="C27" s="63" t="s">
        <v>266</v>
      </c>
      <c r="D27" s="63"/>
      <c r="E27" s="63"/>
      <c r="F27" s="63" t="s">
        <v>558</v>
      </c>
      <c r="G27" s="399"/>
      <c r="H27" s="109" t="s">
        <v>270</v>
      </c>
      <c r="I27" s="108" t="s">
        <v>554</v>
      </c>
      <c r="J27" s="63"/>
      <c r="K27" s="63"/>
      <c r="L27" s="63"/>
      <c r="M27" s="63"/>
    </row>
    <row r="28" spans="1:13">
      <c r="A28" s="396"/>
      <c r="B28" s="104" t="s">
        <v>267</v>
      </c>
      <c r="C28" s="63" t="s">
        <v>267</v>
      </c>
      <c r="D28" s="63" t="s">
        <v>323</v>
      </c>
      <c r="E28" s="63" t="s">
        <v>324</v>
      </c>
      <c r="F28" s="63" t="s">
        <v>558</v>
      </c>
      <c r="G28" s="399" t="s">
        <v>272</v>
      </c>
      <c r="H28" s="109" t="s">
        <v>272</v>
      </c>
      <c r="I28" s="107" t="s">
        <v>588</v>
      </c>
      <c r="J28" s="114" t="s">
        <v>331</v>
      </c>
      <c r="K28" s="114">
        <v>2.5</v>
      </c>
      <c r="L28" s="114">
        <v>3.5</v>
      </c>
      <c r="M28" s="73" t="s">
        <v>559</v>
      </c>
    </row>
    <row r="29" spans="1:13">
      <c r="A29" s="396"/>
      <c r="B29" s="104" t="s">
        <v>268</v>
      </c>
      <c r="C29" s="63" t="s">
        <v>268</v>
      </c>
      <c r="D29" s="63"/>
      <c r="E29" s="63"/>
      <c r="F29" s="63" t="s">
        <v>558</v>
      </c>
      <c r="G29" s="399"/>
      <c r="H29" s="109" t="s">
        <v>272</v>
      </c>
      <c r="I29" s="107" t="s">
        <v>587</v>
      </c>
      <c r="J29" s="114" t="s">
        <v>330</v>
      </c>
      <c r="K29" s="114">
        <v>3.5</v>
      </c>
      <c r="L29" s="114">
        <v>2</v>
      </c>
      <c r="M29" s="114" t="s">
        <v>559</v>
      </c>
    </row>
    <row r="30" spans="1:13">
      <c r="A30" s="397"/>
      <c r="B30" s="104" t="s">
        <v>269</v>
      </c>
      <c r="C30" s="63" t="s">
        <v>269</v>
      </c>
      <c r="D30" s="63"/>
      <c r="E30" s="63"/>
      <c r="F30" s="63" t="s">
        <v>558</v>
      </c>
      <c r="G30" s="399"/>
      <c r="H30" s="109" t="s">
        <v>272</v>
      </c>
      <c r="I30" s="108" t="s">
        <v>553</v>
      </c>
      <c r="J30" s="114" t="s">
        <v>340</v>
      </c>
      <c r="K30" s="63"/>
      <c r="L30" s="63"/>
      <c r="M30" s="114" t="s">
        <v>560</v>
      </c>
    </row>
    <row r="31" spans="1:13">
      <c r="A31" s="395" t="s">
        <v>270</v>
      </c>
      <c r="B31" s="104" t="s">
        <v>584</v>
      </c>
      <c r="C31" s="63" t="s">
        <v>345</v>
      </c>
      <c r="D31" s="63" t="s">
        <v>238</v>
      </c>
      <c r="E31" s="63" t="s">
        <v>238</v>
      </c>
      <c r="F31" s="63" t="s">
        <v>270</v>
      </c>
      <c r="G31" s="399"/>
      <c r="H31" s="109" t="s">
        <v>272</v>
      </c>
      <c r="I31" s="108" t="s">
        <v>554</v>
      </c>
      <c r="J31" s="63"/>
      <c r="K31" s="63"/>
      <c r="L31" s="63"/>
      <c r="M31" s="63"/>
    </row>
    <row r="32" spans="1:13">
      <c r="A32" s="397"/>
      <c r="B32" s="104" t="s">
        <v>271</v>
      </c>
      <c r="C32" s="63" t="s">
        <v>345</v>
      </c>
      <c r="D32" s="63" t="s">
        <v>238</v>
      </c>
      <c r="E32" s="63" t="s">
        <v>238</v>
      </c>
      <c r="F32" s="63" t="s">
        <v>270</v>
      </c>
      <c r="G32" s="399" t="s">
        <v>281</v>
      </c>
      <c r="H32" s="110" t="s">
        <v>281</v>
      </c>
      <c r="I32" s="107" t="s">
        <v>588</v>
      </c>
      <c r="J32" s="114" t="s">
        <v>331</v>
      </c>
      <c r="K32" s="114">
        <v>2</v>
      </c>
      <c r="L32" s="114">
        <v>3.5</v>
      </c>
      <c r="M32" s="73" t="s">
        <v>559</v>
      </c>
    </row>
    <row r="33" spans="1:13">
      <c r="A33" s="395" t="s">
        <v>272</v>
      </c>
      <c r="B33" s="104" t="s">
        <v>273</v>
      </c>
      <c r="C33" s="63" t="s">
        <v>339</v>
      </c>
      <c r="D33" s="63" t="s">
        <v>328</v>
      </c>
      <c r="E33" s="63" t="s">
        <v>341</v>
      </c>
      <c r="F33" s="63" t="s">
        <v>558</v>
      </c>
      <c r="G33" s="399"/>
      <c r="H33" s="110" t="s">
        <v>281</v>
      </c>
      <c r="I33" s="107" t="s">
        <v>587</v>
      </c>
      <c r="J33" s="114" t="s">
        <v>330</v>
      </c>
      <c r="K33" s="114">
        <v>3.5</v>
      </c>
      <c r="L33" s="114">
        <v>2</v>
      </c>
      <c r="M33" s="114" t="s">
        <v>559</v>
      </c>
    </row>
    <row r="34" spans="1:13">
      <c r="A34" s="396"/>
      <c r="B34" s="104" t="s">
        <v>274</v>
      </c>
      <c r="C34" s="63" t="s">
        <v>343</v>
      </c>
      <c r="D34" s="63" t="s">
        <v>328</v>
      </c>
      <c r="E34" s="63" t="s">
        <v>341</v>
      </c>
      <c r="F34" s="63" t="s">
        <v>558</v>
      </c>
      <c r="G34" s="399"/>
      <c r="H34" s="110" t="s">
        <v>281</v>
      </c>
      <c r="I34" s="108" t="s">
        <v>553</v>
      </c>
      <c r="J34" s="63"/>
      <c r="K34" s="63"/>
      <c r="L34" s="63"/>
      <c r="M34" s="114" t="s">
        <v>560</v>
      </c>
    </row>
    <row r="35" spans="1:13">
      <c r="A35" s="396"/>
      <c r="B35" s="104" t="s">
        <v>275</v>
      </c>
      <c r="C35" s="63" t="s">
        <v>332</v>
      </c>
      <c r="D35" s="63" t="s">
        <v>328</v>
      </c>
      <c r="E35" s="63" t="s">
        <v>341</v>
      </c>
      <c r="F35" s="63" t="s">
        <v>558</v>
      </c>
      <c r="G35" s="399"/>
      <c r="H35" s="110" t="s">
        <v>281</v>
      </c>
      <c r="I35" s="108" t="s">
        <v>554</v>
      </c>
      <c r="J35" s="63"/>
      <c r="K35" s="63"/>
      <c r="L35" s="63"/>
      <c r="M35" s="63"/>
    </row>
    <row r="36" spans="1:13">
      <c r="A36" s="396"/>
      <c r="B36" s="104" t="s">
        <v>276</v>
      </c>
      <c r="C36" s="63" t="s">
        <v>509</v>
      </c>
      <c r="D36" s="63"/>
      <c r="E36" s="63"/>
      <c r="F36" s="63" t="s">
        <v>558</v>
      </c>
      <c r="G36" s="399" t="s">
        <v>288</v>
      </c>
      <c r="H36" s="109" t="s">
        <v>288</v>
      </c>
      <c r="I36" s="107" t="s">
        <v>588</v>
      </c>
      <c r="J36" s="114" t="s">
        <v>331</v>
      </c>
      <c r="K36" s="114">
        <v>2</v>
      </c>
      <c r="L36" s="114">
        <v>3.5</v>
      </c>
      <c r="M36" s="73" t="s">
        <v>559</v>
      </c>
    </row>
    <row r="37" spans="1:13">
      <c r="A37" s="396"/>
      <c r="B37" s="104" t="s">
        <v>277</v>
      </c>
      <c r="C37" s="63" t="s">
        <v>501</v>
      </c>
      <c r="D37" s="63"/>
      <c r="E37" s="63"/>
      <c r="F37" s="63" t="s">
        <v>558</v>
      </c>
      <c r="G37" s="399"/>
      <c r="H37" s="109" t="s">
        <v>288</v>
      </c>
      <c r="I37" s="107" t="s">
        <v>587</v>
      </c>
      <c r="J37" s="114" t="s">
        <v>330</v>
      </c>
      <c r="K37" s="114">
        <v>3.5</v>
      </c>
      <c r="L37" s="114">
        <v>2</v>
      </c>
      <c r="M37" s="114" t="s">
        <v>559</v>
      </c>
    </row>
    <row r="38" spans="1:13">
      <c r="A38" s="396"/>
      <c r="B38" s="104" t="s">
        <v>278</v>
      </c>
      <c r="C38" s="63" t="s">
        <v>338</v>
      </c>
      <c r="D38" s="63" t="s">
        <v>328</v>
      </c>
      <c r="E38" s="63" t="s">
        <v>341</v>
      </c>
      <c r="F38" s="63" t="s">
        <v>558</v>
      </c>
      <c r="G38" s="399"/>
      <c r="H38" s="109" t="s">
        <v>288</v>
      </c>
      <c r="I38" s="108" t="s">
        <v>553</v>
      </c>
      <c r="J38" s="114" t="s">
        <v>333</v>
      </c>
      <c r="K38" s="114">
        <v>4</v>
      </c>
      <c r="L38" s="114">
        <v>4</v>
      </c>
      <c r="M38" s="114" t="s">
        <v>560</v>
      </c>
    </row>
    <row r="39" spans="1:13">
      <c r="A39" s="396"/>
      <c r="B39" s="104" t="s">
        <v>279</v>
      </c>
      <c r="C39" s="63" t="s">
        <v>279</v>
      </c>
      <c r="D39" s="63"/>
      <c r="E39" s="63"/>
      <c r="F39" s="63" t="s">
        <v>558</v>
      </c>
      <c r="G39" s="399"/>
      <c r="H39" s="109" t="s">
        <v>288</v>
      </c>
      <c r="I39" s="108" t="s">
        <v>554</v>
      </c>
      <c r="J39" s="63"/>
      <c r="K39" s="63"/>
      <c r="L39" s="63"/>
      <c r="M39" s="63"/>
    </row>
    <row r="40" spans="1:13">
      <c r="A40" s="397"/>
      <c r="B40" s="104" t="s">
        <v>280</v>
      </c>
      <c r="C40" s="63" t="s">
        <v>280</v>
      </c>
      <c r="D40" s="63"/>
      <c r="E40" s="63"/>
      <c r="F40" s="63" t="s">
        <v>558</v>
      </c>
      <c r="G40" s="399" t="s">
        <v>299</v>
      </c>
      <c r="H40" s="109" t="s">
        <v>299</v>
      </c>
      <c r="I40" s="107" t="s">
        <v>588</v>
      </c>
      <c r="J40" s="114" t="s">
        <v>331</v>
      </c>
      <c r="K40" s="63"/>
      <c r="L40" s="63"/>
      <c r="M40" s="73" t="s">
        <v>559</v>
      </c>
    </row>
    <row r="41" spans="1:13">
      <c r="A41" s="395" t="s">
        <v>281</v>
      </c>
      <c r="B41" s="104" t="s">
        <v>282</v>
      </c>
      <c r="C41" s="63" t="s">
        <v>337</v>
      </c>
      <c r="D41" s="63" t="s">
        <v>323</v>
      </c>
      <c r="E41" s="63" t="s">
        <v>324</v>
      </c>
      <c r="F41" s="63" t="s">
        <v>558</v>
      </c>
      <c r="G41" s="399"/>
      <c r="H41" s="109" t="s">
        <v>299</v>
      </c>
      <c r="I41" s="107" t="s">
        <v>587</v>
      </c>
      <c r="J41" s="114" t="s">
        <v>330</v>
      </c>
      <c r="K41" s="63"/>
      <c r="L41" s="63"/>
      <c r="M41" s="114" t="s">
        <v>559</v>
      </c>
    </row>
    <row r="42" spans="1:13">
      <c r="A42" s="396"/>
      <c r="B42" s="104" t="s">
        <v>283</v>
      </c>
      <c r="C42" s="63" t="s">
        <v>343</v>
      </c>
      <c r="D42" s="63" t="s">
        <v>323</v>
      </c>
      <c r="E42" s="63" t="s">
        <v>324</v>
      </c>
      <c r="F42" s="63" t="s">
        <v>558</v>
      </c>
      <c r="G42" s="399"/>
      <c r="H42" s="109" t="s">
        <v>299</v>
      </c>
      <c r="I42" s="108" t="s">
        <v>553</v>
      </c>
      <c r="J42" s="63"/>
      <c r="K42" s="63"/>
      <c r="L42" s="63"/>
      <c r="M42" s="114" t="s">
        <v>560</v>
      </c>
    </row>
    <row r="43" spans="1:13">
      <c r="A43" s="396"/>
      <c r="B43" s="104" t="s">
        <v>284</v>
      </c>
      <c r="C43" s="63" t="s">
        <v>342</v>
      </c>
      <c r="D43" s="63" t="s">
        <v>323</v>
      </c>
      <c r="E43" s="63" t="s">
        <v>324</v>
      </c>
      <c r="F43" s="63" t="s">
        <v>558</v>
      </c>
      <c r="G43" s="399"/>
      <c r="H43" s="109" t="s">
        <v>299</v>
      </c>
      <c r="I43" s="108" t="s">
        <v>554</v>
      </c>
      <c r="J43" s="63"/>
      <c r="K43" s="63"/>
      <c r="L43" s="63"/>
      <c r="M43" s="63"/>
    </row>
    <row r="44" spans="1:13">
      <c r="A44" s="396"/>
      <c r="B44" s="105" t="s">
        <v>285</v>
      </c>
      <c r="C44" s="63" t="s">
        <v>332</v>
      </c>
      <c r="D44" s="63" t="s">
        <v>323</v>
      </c>
      <c r="E44" s="63" t="s">
        <v>324</v>
      </c>
      <c r="F44" s="63" t="s">
        <v>558</v>
      </c>
      <c r="G44" s="399" t="s">
        <v>308</v>
      </c>
      <c r="H44" s="109" t="s">
        <v>308</v>
      </c>
      <c r="I44" s="107" t="s">
        <v>588</v>
      </c>
      <c r="J44" s="114" t="s">
        <v>331</v>
      </c>
      <c r="K44" s="114">
        <v>2</v>
      </c>
      <c r="L44" s="114">
        <v>3.5</v>
      </c>
      <c r="M44" s="73" t="s">
        <v>559</v>
      </c>
    </row>
    <row r="45" spans="1:13">
      <c r="A45" s="396"/>
      <c r="B45" s="104" t="s">
        <v>286</v>
      </c>
      <c r="C45" s="63" t="s">
        <v>505</v>
      </c>
      <c r="D45" s="63"/>
      <c r="E45" s="63"/>
      <c r="F45" s="63" t="s">
        <v>558</v>
      </c>
      <c r="G45" s="399"/>
      <c r="H45" s="109" t="s">
        <v>308</v>
      </c>
      <c r="I45" s="107" t="s">
        <v>587</v>
      </c>
      <c r="J45" s="114" t="s">
        <v>330</v>
      </c>
      <c r="K45" s="63"/>
      <c r="L45" s="63"/>
      <c r="M45" s="114" t="s">
        <v>559</v>
      </c>
    </row>
    <row r="46" spans="1:13">
      <c r="A46" s="397"/>
      <c r="B46" s="105" t="s">
        <v>287</v>
      </c>
      <c r="C46" s="63" t="s">
        <v>338</v>
      </c>
      <c r="D46" s="63" t="s">
        <v>323</v>
      </c>
      <c r="E46" s="63" t="s">
        <v>324</v>
      </c>
      <c r="F46" s="63" t="s">
        <v>558</v>
      </c>
      <c r="G46" s="399"/>
      <c r="H46" s="109" t="s">
        <v>308</v>
      </c>
      <c r="I46" s="108" t="s">
        <v>553</v>
      </c>
      <c r="J46" s="63"/>
      <c r="K46" s="63"/>
      <c r="L46" s="63"/>
      <c r="M46" s="114" t="s">
        <v>560</v>
      </c>
    </row>
    <row r="47" spans="1:13">
      <c r="A47" s="395" t="s">
        <v>288</v>
      </c>
      <c r="B47" s="105" t="s">
        <v>289</v>
      </c>
      <c r="C47" s="63" t="s">
        <v>552</v>
      </c>
      <c r="D47" s="63" t="s">
        <v>326</v>
      </c>
      <c r="E47" s="63" t="s">
        <v>325</v>
      </c>
      <c r="F47" s="63" t="s">
        <v>558</v>
      </c>
      <c r="G47" s="399"/>
      <c r="H47" s="109" t="s">
        <v>308</v>
      </c>
      <c r="I47" s="108" t="s">
        <v>554</v>
      </c>
      <c r="J47" s="63"/>
      <c r="K47" s="63"/>
      <c r="L47" s="63"/>
      <c r="M47" s="63"/>
    </row>
    <row r="48" spans="1:13">
      <c r="A48" s="396"/>
      <c r="B48" s="104" t="s">
        <v>290</v>
      </c>
      <c r="C48" s="63" t="s">
        <v>335</v>
      </c>
      <c r="D48" s="63" t="s">
        <v>323</v>
      </c>
      <c r="E48" s="63" t="s">
        <v>324</v>
      </c>
      <c r="F48" s="63" t="s">
        <v>558</v>
      </c>
      <c r="G48" s="399" t="s">
        <v>554</v>
      </c>
      <c r="H48" s="111" t="s">
        <v>554</v>
      </c>
      <c r="I48" s="107" t="s">
        <v>588</v>
      </c>
      <c r="J48" s="114" t="s">
        <v>331</v>
      </c>
      <c r="K48" s="63"/>
      <c r="L48" s="63"/>
      <c r="M48" s="63"/>
    </row>
    <row r="49" spans="1:13">
      <c r="A49" s="396"/>
      <c r="B49" s="104" t="s">
        <v>291</v>
      </c>
      <c r="C49" s="63" t="s">
        <v>510</v>
      </c>
      <c r="D49" s="63"/>
      <c r="E49" s="63"/>
      <c r="F49" s="63" t="s">
        <v>558</v>
      </c>
      <c r="G49" s="399"/>
      <c r="H49" s="111" t="s">
        <v>554</v>
      </c>
      <c r="I49" s="107" t="s">
        <v>587</v>
      </c>
      <c r="J49" s="114" t="s">
        <v>330</v>
      </c>
      <c r="K49" s="63"/>
      <c r="L49" s="63"/>
      <c r="M49" s="63"/>
    </row>
    <row r="50" spans="1:13">
      <c r="A50" s="396"/>
      <c r="B50" s="104" t="s">
        <v>292</v>
      </c>
      <c r="C50" s="63" t="s">
        <v>511</v>
      </c>
      <c r="D50" s="63"/>
      <c r="E50" s="63"/>
      <c r="F50" s="63" t="s">
        <v>558</v>
      </c>
      <c r="G50" s="399"/>
      <c r="H50" s="111" t="s">
        <v>554</v>
      </c>
      <c r="I50" s="108" t="s">
        <v>553</v>
      </c>
      <c r="J50" s="63"/>
      <c r="K50" s="63"/>
      <c r="L50" s="63"/>
      <c r="M50" s="63"/>
    </row>
    <row r="51" spans="1:13">
      <c r="A51" s="396"/>
      <c r="B51" s="104" t="s">
        <v>293</v>
      </c>
      <c r="C51" s="63" t="s">
        <v>293</v>
      </c>
      <c r="D51" s="63"/>
      <c r="E51" s="63"/>
      <c r="F51" s="63" t="s">
        <v>558</v>
      </c>
      <c r="G51" s="399"/>
      <c r="H51" s="111" t="s">
        <v>554</v>
      </c>
      <c r="I51" s="108" t="s">
        <v>554</v>
      </c>
      <c r="J51" s="63"/>
      <c r="K51" s="63"/>
      <c r="L51" s="63"/>
      <c r="M51" s="63"/>
    </row>
    <row r="52" spans="1:13">
      <c r="A52" s="396"/>
      <c r="B52" s="104" t="s">
        <v>294</v>
      </c>
      <c r="C52" s="63" t="s">
        <v>294</v>
      </c>
      <c r="D52" s="63"/>
      <c r="E52" s="63"/>
      <c r="F52" s="63" t="s">
        <v>558</v>
      </c>
    </row>
    <row r="53" spans="1:13">
      <c r="A53" s="396"/>
      <c r="B53" s="104" t="s">
        <v>295</v>
      </c>
      <c r="C53" s="63" t="s">
        <v>334</v>
      </c>
      <c r="D53" s="63" t="s">
        <v>323</v>
      </c>
      <c r="E53" s="63" t="s">
        <v>324</v>
      </c>
      <c r="F53" s="63" t="s">
        <v>558</v>
      </c>
    </row>
    <row r="54" spans="1:13">
      <c r="A54" s="396"/>
      <c r="B54" s="104" t="s">
        <v>296</v>
      </c>
      <c r="C54" s="63" t="s">
        <v>296</v>
      </c>
      <c r="D54" s="63"/>
      <c r="E54" s="63"/>
      <c r="F54" s="63" t="s">
        <v>558</v>
      </c>
    </row>
    <row r="55" spans="1:13">
      <c r="A55" s="396"/>
      <c r="B55" s="104" t="s">
        <v>297</v>
      </c>
      <c r="C55" s="63" t="s">
        <v>297</v>
      </c>
      <c r="D55" s="63"/>
      <c r="E55" s="63"/>
      <c r="F55" s="63" t="s">
        <v>558</v>
      </c>
    </row>
    <row r="56" spans="1:13">
      <c r="A56" s="397"/>
      <c r="B56" s="104" t="s">
        <v>298</v>
      </c>
      <c r="C56" s="63" t="s">
        <v>298</v>
      </c>
      <c r="D56" s="63"/>
      <c r="E56" s="63"/>
      <c r="F56" s="63" t="s">
        <v>558</v>
      </c>
    </row>
    <row r="57" spans="1:13">
      <c r="A57" s="395" t="s">
        <v>299</v>
      </c>
      <c r="B57" s="104" t="s">
        <v>300</v>
      </c>
      <c r="C57" s="63" t="s">
        <v>300</v>
      </c>
      <c r="D57" s="63"/>
      <c r="E57" s="63"/>
      <c r="F57" s="63" t="s">
        <v>558</v>
      </c>
    </row>
    <row r="58" spans="1:13">
      <c r="A58" s="396"/>
      <c r="B58" s="104" t="s">
        <v>301</v>
      </c>
      <c r="C58" s="63" t="s">
        <v>301</v>
      </c>
      <c r="D58" s="63"/>
      <c r="E58" s="63"/>
      <c r="F58" s="63" t="s">
        <v>558</v>
      </c>
    </row>
    <row r="59" spans="1:13">
      <c r="A59" s="396"/>
      <c r="B59" s="104" t="s">
        <v>302</v>
      </c>
      <c r="C59" s="63" t="s">
        <v>302</v>
      </c>
      <c r="D59" s="63"/>
      <c r="E59" s="63"/>
      <c r="F59" s="63" t="s">
        <v>558</v>
      </c>
    </row>
    <row r="60" spans="1:13">
      <c r="A60" s="396"/>
      <c r="B60" s="104" t="s">
        <v>303</v>
      </c>
      <c r="C60" s="63" t="s">
        <v>303</v>
      </c>
      <c r="D60" s="63"/>
      <c r="E60" s="63"/>
      <c r="F60" s="63" t="s">
        <v>558</v>
      </c>
    </row>
    <row r="61" spans="1:13">
      <c r="A61" s="396"/>
      <c r="B61" s="104" t="s">
        <v>304</v>
      </c>
      <c r="C61" s="63" t="s">
        <v>304</v>
      </c>
      <c r="D61" s="63"/>
      <c r="E61" s="63"/>
      <c r="F61" s="63" t="s">
        <v>558</v>
      </c>
    </row>
    <row r="62" spans="1:13">
      <c r="A62" s="396"/>
      <c r="B62" s="104" t="s">
        <v>305</v>
      </c>
      <c r="C62" s="63" t="s">
        <v>305</v>
      </c>
      <c r="D62" s="63"/>
      <c r="E62" s="63"/>
      <c r="F62" s="63" t="s">
        <v>558</v>
      </c>
    </row>
    <row r="63" spans="1:13">
      <c r="A63" s="396"/>
      <c r="B63" s="104" t="s">
        <v>306</v>
      </c>
      <c r="C63" s="63" t="s">
        <v>306</v>
      </c>
      <c r="D63" s="63"/>
      <c r="E63" s="63"/>
      <c r="F63" s="63" t="s">
        <v>558</v>
      </c>
    </row>
    <row r="64" spans="1:13">
      <c r="A64" s="397"/>
      <c r="B64" s="104" t="s">
        <v>307</v>
      </c>
      <c r="C64" s="63" t="s">
        <v>307</v>
      </c>
      <c r="D64" s="63"/>
      <c r="E64" s="63"/>
      <c r="F64" s="63" t="s">
        <v>558</v>
      </c>
    </row>
    <row r="65" spans="1:6">
      <c r="A65" s="395" t="s">
        <v>308</v>
      </c>
      <c r="B65" s="104" t="s">
        <v>309</v>
      </c>
      <c r="C65" s="63" t="s">
        <v>309</v>
      </c>
      <c r="D65" s="63"/>
      <c r="E65" s="63"/>
      <c r="F65" s="63" t="s">
        <v>558</v>
      </c>
    </row>
    <row r="66" spans="1:6">
      <c r="A66" s="396"/>
      <c r="B66" s="104" t="s">
        <v>310</v>
      </c>
      <c r="C66" s="63" t="s">
        <v>480</v>
      </c>
      <c r="D66" s="63" t="s">
        <v>323</v>
      </c>
      <c r="E66" s="63" t="s">
        <v>324</v>
      </c>
      <c r="F66" s="63" t="s">
        <v>558</v>
      </c>
    </row>
    <row r="67" spans="1:6">
      <c r="A67" s="396"/>
      <c r="B67" s="104" t="s">
        <v>311</v>
      </c>
      <c r="C67" s="63" t="s">
        <v>311</v>
      </c>
      <c r="D67" s="63"/>
      <c r="E67" s="63"/>
      <c r="F67" s="63" t="s">
        <v>558</v>
      </c>
    </row>
    <row r="68" spans="1:6">
      <c r="A68" s="396"/>
      <c r="B68" s="104" t="s">
        <v>312</v>
      </c>
      <c r="C68" s="63" t="s">
        <v>312</v>
      </c>
      <c r="D68" s="63"/>
      <c r="E68" s="63"/>
      <c r="F68" s="63" t="s">
        <v>558</v>
      </c>
    </row>
    <row r="69" spans="1:6">
      <c r="A69" s="396"/>
      <c r="B69" s="104" t="s">
        <v>313</v>
      </c>
      <c r="C69" s="63" t="s">
        <v>313</v>
      </c>
      <c r="D69" s="63"/>
      <c r="E69" s="63"/>
      <c r="F69" s="63" t="s">
        <v>558</v>
      </c>
    </row>
    <row r="70" spans="1:6">
      <c r="A70" s="396"/>
      <c r="B70" s="104" t="s">
        <v>314</v>
      </c>
      <c r="C70" s="63" t="s">
        <v>314</v>
      </c>
      <c r="D70" s="63"/>
      <c r="E70" s="63"/>
      <c r="F70" s="63" t="s">
        <v>558</v>
      </c>
    </row>
    <row r="71" spans="1:6">
      <c r="A71" s="396"/>
      <c r="B71" s="104" t="s">
        <v>315</v>
      </c>
      <c r="C71" s="63" t="s">
        <v>315</v>
      </c>
      <c r="D71" s="63"/>
      <c r="E71" s="63"/>
      <c r="F71" s="63" t="s">
        <v>558</v>
      </c>
    </row>
    <row r="72" spans="1:6">
      <c r="A72" s="396"/>
      <c r="B72" s="104" t="s">
        <v>316</v>
      </c>
      <c r="C72" s="63" t="s">
        <v>316</v>
      </c>
      <c r="D72" s="63"/>
      <c r="E72" s="63"/>
      <c r="F72" s="63" t="s">
        <v>558</v>
      </c>
    </row>
    <row r="73" spans="1:6">
      <c r="A73" s="396"/>
      <c r="B73" s="104" t="s">
        <v>317</v>
      </c>
      <c r="C73" s="63" t="s">
        <v>317</v>
      </c>
      <c r="D73" s="63"/>
      <c r="E73" s="63"/>
      <c r="F73" s="63" t="s">
        <v>558</v>
      </c>
    </row>
    <row r="74" spans="1:6">
      <c r="A74" s="397"/>
      <c r="B74" s="104" t="s">
        <v>318</v>
      </c>
      <c r="C74" s="63" t="s">
        <v>318</v>
      </c>
      <c r="D74" s="63"/>
      <c r="E74" s="63"/>
      <c r="F74" s="63" t="s">
        <v>558</v>
      </c>
    </row>
    <row r="75" spans="1:6">
      <c r="A75" s="76" t="s">
        <v>554</v>
      </c>
      <c r="B75" s="105" t="s">
        <v>554</v>
      </c>
      <c r="C75" s="63"/>
      <c r="D75" s="63"/>
      <c r="E75" s="63"/>
      <c r="F75" s="63"/>
    </row>
  </sheetData>
  <mergeCells count="32">
    <mergeCell ref="O2:Q2"/>
    <mergeCell ref="J2:M2"/>
    <mergeCell ref="G12:G15"/>
    <mergeCell ref="G1:M1"/>
    <mergeCell ref="N1:O1"/>
    <mergeCell ref="H2:I2"/>
    <mergeCell ref="A31:A32"/>
    <mergeCell ref="A2:A3"/>
    <mergeCell ref="G2:G3"/>
    <mergeCell ref="A1:F1"/>
    <mergeCell ref="C2:F2"/>
    <mergeCell ref="G40:G43"/>
    <mergeCell ref="G44:G47"/>
    <mergeCell ref="G16:G19"/>
    <mergeCell ref="G20:G23"/>
    <mergeCell ref="G24:G27"/>
    <mergeCell ref="A57:A64"/>
    <mergeCell ref="A65:A74"/>
    <mergeCell ref="A4:A8"/>
    <mergeCell ref="G4:G7"/>
    <mergeCell ref="G8:G11"/>
    <mergeCell ref="A9:A14"/>
    <mergeCell ref="G48:G51"/>
    <mergeCell ref="A15:A22"/>
    <mergeCell ref="A23:A26"/>
    <mergeCell ref="A27:A30"/>
    <mergeCell ref="A33:A40"/>
    <mergeCell ref="A41:A46"/>
    <mergeCell ref="A47:A56"/>
    <mergeCell ref="G28:G31"/>
    <mergeCell ref="G32:G35"/>
    <mergeCell ref="G36:G39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1807-D2FE-45CB-A8BE-2CFEF5A65013}">
  <dimension ref="A1:AM44"/>
  <sheetViews>
    <sheetView zoomScaleNormal="100" workbookViewId="0">
      <pane ySplit="3" topLeftCell="A4" activePane="bottomLeft" state="frozen"/>
      <selection pane="bottomLeft" sqref="A1:H1"/>
    </sheetView>
  </sheetViews>
  <sheetFormatPr defaultColWidth="9" defaultRowHeight="17"/>
  <cols>
    <col min="1" max="1" width="25.25" style="2" bestFit="1" customWidth="1"/>
    <col min="2" max="2" width="21.75" style="2" bestFit="1" customWidth="1"/>
    <col min="3" max="3" width="18.33203125" style="2" bestFit="1" customWidth="1"/>
    <col min="4" max="4" width="12.08203125" style="2" bestFit="1" customWidth="1"/>
    <col min="5" max="5" width="13.58203125" style="2" customWidth="1"/>
    <col min="6" max="6" width="12" style="2" customWidth="1"/>
    <col min="7" max="7" width="17" style="2" bestFit="1" customWidth="1"/>
    <col min="8" max="8" width="20" style="2" bestFit="1" customWidth="1"/>
    <col min="9" max="9" width="21" style="2" bestFit="1" customWidth="1"/>
    <col min="10" max="10" width="31.5" style="2" bestFit="1" customWidth="1"/>
    <col min="11" max="11" width="20.33203125" style="2" customWidth="1"/>
    <col min="12" max="12" width="11.58203125" style="2" customWidth="1"/>
    <col min="13" max="13" width="36.33203125" style="2" bestFit="1" customWidth="1"/>
    <col min="14" max="14" width="13.33203125" style="2" bestFit="1" customWidth="1"/>
    <col min="15" max="15" width="45.33203125" style="2" bestFit="1" customWidth="1"/>
    <col min="16" max="16" width="10.08203125" style="2" bestFit="1" customWidth="1"/>
    <col min="17" max="17" width="25.58203125" style="2" bestFit="1" customWidth="1"/>
    <col min="18" max="18" width="11.75" style="2" customWidth="1"/>
    <col min="19" max="19" width="13.83203125" style="2" bestFit="1" customWidth="1"/>
    <col min="20" max="20" width="15.08203125" style="2" customWidth="1"/>
    <col min="21" max="21" width="10.08203125" style="2" customWidth="1"/>
    <col min="22" max="22" width="11.58203125" style="2" bestFit="1" customWidth="1"/>
    <col min="23" max="23" width="11.83203125" style="2" bestFit="1" customWidth="1"/>
    <col min="24" max="24" width="14.83203125" style="2" customWidth="1"/>
    <col min="25" max="25" width="20.83203125" style="2" bestFit="1" customWidth="1"/>
    <col min="26" max="26" width="24.25" style="2" bestFit="1" customWidth="1"/>
    <col min="27" max="27" width="14.83203125" style="2" customWidth="1"/>
    <col min="28" max="28" width="22.25" style="2" bestFit="1" customWidth="1"/>
    <col min="29" max="29" width="24.25" style="2" bestFit="1" customWidth="1"/>
    <col min="30" max="30" width="11.08203125" style="2" bestFit="1" customWidth="1"/>
    <col min="31" max="31" width="19.5" style="2" bestFit="1" customWidth="1"/>
    <col min="32" max="32" width="17.25" style="2" customWidth="1"/>
    <col min="33" max="33" width="19.58203125" style="2" bestFit="1" customWidth="1"/>
    <col min="34" max="34" width="15.83203125" style="2" customWidth="1"/>
    <col min="35" max="16384" width="9" style="2"/>
  </cols>
  <sheetData>
    <row r="1" spans="1:39" ht="38.15" customHeight="1">
      <c r="A1" s="401" t="s">
        <v>561</v>
      </c>
      <c r="B1" s="401"/>
      <c r="C1" s="401"/>
      <c r="D1" s="401"/>
      <c r="E1" s="401"/>
      <c r="F1" s="401"/>
      <c r="G1" s="401"/>
      <c r="H1" s="401"/>
      <c r="I1" s="401" t="s">
        <v>562</v>
      </c>
      <c r="J1" s="401"/>
      <c r="K1" s="401"/>
      <c r="L1" s="401"/>
      <c r="M1" s="401" t="s">
        <v>578</v>
      </c>
      <c r="N1" s="401"/>
      <c r="O1" s="401"/>
      <c r="P1" s="401"/>
      <c r="Q1" s="401"/>
      <c r="R1" s="401"/>
      <c r="S1" s="401" t="s">
        <v>579</v>
      </c>
      <c r="T1" s="401"/>
      <c r="U1" s="401"/>
      <c r="V1" s="401"/>
      <c r="W1" s="401"/>
      <c r="X1" s="401"/>
      <c r="Y1" s="401" t="s">
        <v>580</v>
      </c>
      <c r="Z1" s="401"/>
      <c r="AA1" s="401"/>
      <c r="AB1" s="401" t="s">
        <v>581</v>
      </c>
      <c r="AC1" s="401"/>
      <c r="AD1" s="401"/>
      <c r="AE1" s="401" t="s">
        <v>582</v>
      </c>
      <c r="AF1" s="401"/>
      <c r="AG1" s="401" t="s">
        <v>583</v>
      </c>
      <c r="AH1" s="401"/>
      <c r="AI1" s="64"/>
      <c r="AJ1" s="64"/>
      <c r="AK1" s="64"/>
      <c r="AL1" s="64"/>
    </row>
    <row r="2" spans="1:39">
      <c r="A2" s="76" t="s">
        <v>486</v>
      </c>
      <c r="B2" s="399" t="s">
        <v>489</v>
      </c>
      <c r="C2" s="399"/>
      <c r="D2" s="399"/>
      <c r="E2" s="399"/>
      <c r="F2" s="399"/>
      <c r="G2" s="399" t="s">
        <v>490</v>
      </c>
      <c r="H2" s="399"/>
      <c r="I2" s="76" t="s">
        <v>486</v>
      </c>
      <c r="J2" s="399" t="s">
        <v>487</v>
      </c>
      <c r="K2" s="399"/>
      <c r="L2" s="399"/>
      <c r="M2" s="76" t="s">
        <v>486</v>
      </c>
      <c r="N2" s="399" t="s">
        <v>487</v>
      </c>
      <c r="O2" s="399"/>
      <c r="P2" s="399"/>
      <c r="Q2" s="399"/>
      <c r="R2" s="399"/>
      <c r="S2" s="76" t="s">
        <v>486</v>
      </c>
      <c r="T2" s="399" t="s">
        <v>487</v>
      </c>
      <c r="U2" s="399"/>
      <c r="V2" s="399"/>
      <c r="W2" s="399"/>
      <c r="X2" s="399"/>
      <c r="Y2" s="76" t="s">
        <v>486</v>
      </c>
      <c r="Z2" s="399" t="s">
        <v>487</v>
      </c>
      <c r="AA2" s="399"/>
      <c r="AB2" s="76" t="s">
        <v>486</v>
      </c>
      <c r="AC2" s="399" t="s">
        <v>487</v>
      </c>
      <c r="AD2" s="399"/>
      <c r="AE2" s="76" t="s">
        <v>486</v>
      </c>
      <c r="AF2" s="76" t="s">
        <v>487</v>
      </c>
      <c r="AG2" s="76" t="s">
        <v>486</v>
      </c>
      <c r="AH2" s="76" t="s">
        <v>487</v>
      </c>
      <c r="AI2" s="64"/>
      <c r="AJ2" s="64"/>
      <c r="AK2" s="64"/>
      <c r="AL2" s="64"/>
      <c r="AM2" s="64"/>
    </row>
    <row r="3" spans="1:39">
      <c r="A3" s="62" t="s">
        <v>488</v>
      </c>
      <c r="B3" s="85" t="s">
        <v>467</v>
      </c>
      <c r="C3" s="85" t="s">
        <v>220</v>
      </c>
      <c r="D3" s="85" t="s">
        <v>219</v>
      </c>
      <c r="E3" s="85" t="s">
        <v>216</v>
      </c>
      <c r="F3" s="85" t="s">
        <v>458</v>
      </c>
      <c r="G3" s="85" t="s">
        <v>468</v>
      </c>
      <c r="H3" s="85" t="s">
        <v>220</v>
      </c>
      <c r="I3" s="62" t="s">
        <v>55</v>
      </c>
      <c r="J3" s="85" t="s">
        <v>459</v>
      </c>
      <c r="K3" s="85" t="s">
        <v>216</v>
      </c>
      <c r="L3" s="85" t="s">
        <v>458</v>
      </c>
      <c r="M3" s="62" t="s">
        <v>26</v>
      </c>
      <c r="N3" s="85" t="s">
        <v>241</v>
      </c>
      <c r="O3" s="85" t="s">
        <v>220</v>
      </c>
      <c r="P3" s="85" t="s">
        <v>219</v>
      </c>
      <c r="Q3" s="85" t="s">
        <v>216</v>
      </c>
      <c r="R3" s="85" t="s">
        <v>458</v>
      </c>
      <c r="S3" s="62" t="s">
        <v>491</v>
      </c>
      <c r="T3" s="85" t="s">
        <v>242</v>
      </c>
      <c r="U3" s="85" t="s">
        <v>220</v>
      </c>
      <c r="V3" s="85" t="s">
        <v>219</v>
      </c>
      <c r="W3" s="85" t="s">
        <v>216</v>
      </c>
      <c r="X3" s="85" t="s">
        <v>458</v>
      </c>
      <c r="Y3" s="62" t="s">
        <v>211</v>
      </c>
      <c r="Z3" s="85" t="s">
        <v>463</v>
      </c>
      <c r="AA3" s="85" t="s">
        <v>457</v>
      </c>
      <c r="AB3" s="85" t="s">
        <v>492</v>
      </c>
      <c r="AC3" s="85" t="s">
        <v>463</v>
      </c>
      <c r="AD3" s="85" t="s">
        <v>457</v>
      </c>
      <c r="AE3" s="85" t="s">
        <v>440</v>
      </c>
      <c r="AF3" s="85" t="s">
        <v>457</v>
      </c>
      <c r="AG3" s="85" t="s">
        <v>64</v>
      </c>
      <c r="AH3" s="85" t="s">
        <v>457</v>
      </c>
      <c r="AI3" s="64"/>
      <c r="AJ3" s="64"/>
      <c r="AK3" s="64"/>
      <c r="AL3" s="64"/>
      <c r="AM3" s="64"/>
    </row>
    <row r="4" spans="1:39" ht="16.5" customHeight="1">
      <c r="A4" s="86" t="s">
        <v>117</v>
      </c>
      <c r="B4" s="63" t="s">
        <v>228</v>
      </c>
      <c r="C4" s="65" t="s">
        <v>226</v>
      </c>
      <c r="D4" s="65" t="s">
        <v>349</v>
      </c>
      <c r="E4" s="65" t="s">
        <v>348</v>
      </c>
      <c r="F4" s="73" t="s">
        <v>512</v>
      </c>
      <c r="G4" s="73" t="s">
        <v>238</v>
      </c>
      <c r="H4" s="73" t="s">
        <v>238</v>
      </c>
      <c r="I4" s="86" t="s">
        <v>196</v>
      </c>
      <c r="J4" s="77">
        <v>4</v>
      </c>
      <c r="K4" s="66" t="s">
        <v>423</v>
      </c>
      <c r="L4" s="73" t="s">
        <v>513</v>
      </c>
      <c r="M4" s="86" t="s">
        <v>155</v>
      </c>
      <c r="N4" s="66" t="s">
        <v>382</v>
      </c>
      <c r="O4" s="66" t="s">
        <v>381</v>
      </c>
      <c r="P4" s="66" t="s">
        <v>223</v>
      </c>
      <c r="Q4" s="66" t="s">
        <v>379</v>
      </c>
      <c r="R4" s="73" t="s">
        <v>514</v>
      </c>
      <c r="S4" s="86" t="s">
        <v>186</v>
      </c>
      <c r="T4" s="66" t="s">
        <v>413</v>
      </c>
      <c r="U4" s="66" t="s">
        <v>412</v>
      </c>
      <c r="V4" s="66" t="s">
        <v>387</v>
      </c>
      <c r="W4" s="68" t="s">
        <v>186</v>
      </c>
      <c r="X4" s="73" t="s">
        <v>515</v>
      </c>
      <c r="Y4" s="86" t="s">
        <v>212</v>
      </c>
      <c r="Z4" s="65" t="s">
        <v>238</v>
      </c>
      <c r="AA4" s="65" t="s">
        <v>429</v>
      </c>
      <c r="AB4" s="86" t="s">
        <v>215</v>
      </c>
      <c r="AC4" s="73">
        <v>1.4</v>
      </c>
      <c r="AD4" s="63" t="s">
        <v>436</v>
      </c>
      <c r="AE4" s="86" t="s">
        <v>206</v>
      </c>
      <c r="AF4" s="65" t="s">
        <v>206</v>
      </c>
      <c r="AG4" s="86" t="s">
        <v>564</v>
      </c>
      <c r="AH4" s="66" t="s">
        <v>516</v>
      </c>
      <c r="AI4" s="64"/>
      <c r="AJ4" s="64"/>
      <c r="AK4" s="64"/>
      <c r="AL4" s="64"/>
      <c r="AM4" s="64"/>
    </row>
    <row r="5" spans="1:39">
      <c r="A5" s="86" t="s">
        <v>118</v>
      </c>
      <c r="B5" s="63" t="s">
        <v>227</v>
      </c>
      <c r="C5" s="65" t="s">
        <v>351</v>
      </c>
      <c r="D5" s="65" t="s">
        <v>349</v>
      </c>
      <c r="E5" s="65" t="s">
        <v>350</v>
      </c>
      <c r="F5" s="73" t="s">
        <v>512</v>
      </c>
      <c r="G5" s="73" t="s">
        <v>238</v>
      </c>
      <c r="H5" s="73" t="s">
        <v>238</v>
      </c>
      <c r="I5" s="86" t="s">
        <v>197</v>
      </c>
      <c r="J5" s="73">
        <v>3.6</v>
      </c>
      <c r="K5" s="66" t="s">
        <v>423</v>
      </c>
      <c r="L5" s="73" t="s">
        <v>441</v>
      </c>
      <c r="M5" s="86" t="s">
        <v>156</v>
      </c>
      <c r="N5" s="66" t="s">
        <v>382</v>
      </c>
      <c r="O5" s="66" t="s">
        <v>384</v>
      </c>
      <c r="P5" s="66" t="s">
        <v>223</v>
      </c>
      <c r="Q5" s="66" t="s">
        <v>383</v>
      </c>
      <c r="R5" s="73" t="s">
        <v>514</v>
      </c>
      <c r="S5" s="86" t="s">
        <v>187</v>
      </c>
      <c r="T5" s="66" t="s">
        <v>415</v>
      </c>
      <c r="U5" s="66" t="s">
        <v>414</v>
      </c>
      <c r="V5" s="66" t="s">
        <v>223</v>
      </c>
      <c r="W5" s="68" t="s">
        <v>187</v>
      </c>
      <c r="X5" s="73" t="s">
        <v>515</v>
      </c>
      <c r="Y5" s="86" t="s">
        <v>213</v>
      </c>
      <c r="Z5" s="67"/>
      <c r="AA5" s="65" t="s">
        <v>430</v>
      </c>
      <c r="AB5" s="72"/>
      <c r="AC5" s="72"/>
      <c r="AD5" s="72"/>
      <c r="AE5" s="86" t="s">
        <v>207</v>
      </c>
      <c r="AF5" s="65" t="s">
        <v>207</v>
      </c>
      <c r="AG5" s="86" t="s">
        <v>496</v>
      </c>
      <c r="AH5" s="66" t="s">
        <v>516</v>
      </c>
      <c r="AI5" s="64"/>
      <c r="AJ5" s="64"/>
      <c r="AK5" s="64"/>
      <c r="AL5" s="64"/>
      <c r="AM5" s="64"/>
    </row>
    <row r="6" spans="1:39">
      <c r="A6" s="86" t="s">
        <v>119</v>
      </c>
      <c r="B6" s="63" t="s">
        <v>228</v>
      </c>
      <c r="C6" s="65" t="s">
        <v>221</v>
      </c>
      <c r="D6" s="65" t="s">
        <v>223</v>
      </c>
      <c r="E6" s="65" t="s">
        <v>231</v>
      </c>
      <c r="F6" s="73" t="s">
        <v>513</v>
      </c>
      <c r="G6" s="73" t="s">
        <v>238</v>
      </c>
      <c r="H6" s="73" t="s">
        <v>238</v>
      </c>
      <c r="I6" s="86" t="s">
        <v>198</v>
      </c>
      <c r="J6" s="73"/>
      <c r="K6" s="66" t="s">
        <v>424</v>
      </c>
      <c r="L6" s="73" t="s">
        <v>441</v>
      </c>
      <c r="M6" s="86" t="s">
        <v>157</v>
      </c>
      <c r="N6" s="66" t="s">
        <v>385</v>
      </c>
      <c r="O6" s="66" t="s">
        <v>381</v>
      </c>
      <c r="P6" s="66" t="s">
        <v>380</v>
      </c>
      <c r="Q6" s="66" t="s">
        <v>379</v>
      </c>
      <c r="R6" s="73" t="s">
        <v>517</v>
      </c>
      <c r="S6" s="86" t="s">
        <v>188</v>
      </c>
      <c r="T6" s="66" t="s">
        <v>413</v>
      </c>
      <c r="U6" s="66" t="s">
        <v>417</v>
      </c>
      <c r="V6" s="66" t="s">
        <v>387</v>
      </c>
      <c r="W6" s="68" t="s">
        <v>416</v>
      </c>
      <c r="X6" s="73" t="s">
        <v>515</v>
      </c>
      <c r="Y6" s="86" t="s">
        <v>214</v>
      </c>
      <c r="Z6" s="78">
        <v>2</v>
      </c>
      <c r="AA6" s="65" t="s">
        <v>430</v>
      </c>
      <c r="AB6" s="72"/>
      <c r="AC6" s="72"/>
      <c r="AD6" s="72"/>
      <c r="AE6" s="86" t="s">
        <v>208</v>
      </c>
      <c r="AF6" s="65" t="s">
        <v>546</v>
      </c>
      <c r="AG6" s="86" t="s">
        <v>442</v>
      </c>
      <c r="AH6" s="66" t="s">
        <v>442</v>
      </c>
      <c r="AI6" s="64"/>
      <c r="AJ6" s="64"/>
      <c r="AK6" s="64"/>
      <c r="AL6" s="64"/>
      <c r="AM6" s="64"/>
    </row>
    <row r="7" spans="1:39">
      <c r="A7" s="86" t="s">
        <v>120</v>
      </c>
      <c r="B7" s="63"/>
      <c r="C7" s="65" t="s">
        <v>221</v>
      </c>
      <c r="D7" s="65" t="s">
        <v>218</v>
      </c>
      <c r="E7" s="65" t="s">
        <v>217</v>
      </c>
      <c r="F7" s="73" t="s">
        <v>513</v>
      </c>
      <c r="G7" s="73"/>
      <c r="H7" s="73"/>
      <c r="I7" s="86" t="s">
        <v>199</v>
      </c>
      <c r="J7" s="73"/>
      <c r="K7" s="65" t="s">
        <v>540</v>
      </c>
      <c r="L7" s="73"/>
      <c r="M7" s="86" t="s">
        <v>158</v>
      </c>
      <c r="N7" s="66" t="s">
        <v>382</v>
      </c>
      <c r="O7" s="66" t="s">
        <v>388</v>
      </c>
      <c r="P7" s="66" t="s">
        <v>387</v>
      </c>
      <c r="Q7" s="66" t="s">
        <v>386</v>
      </c>
      <c r="R7" s="73" t="s">
        <v>514</v>
      </c>
      <c r="S7" s="86" t="s">
        <v>189</v>
      </c>
      <c r="T7" s="67"/>
      <c r="U7" s="67"/>
      <c r="V7" s="67"/>
      <c r="W7" s="65" t="s">
        <v>545</v>
      </c>
      <c r="X7" s="73" t="s">
        <v>515</v>
      </c>
      <c r="Y7" s="72"/>
      <c r="Z7" s="79"/>
      <c r="AB7" s="72"/>
      <c r="AC7" s="72"/>
      <c r="AD7" s="72"/>
      <c r="AE7" s="86" t="s">
        <v>209</v>
      </c>
      <c r="AF7" s="65" t="s">
        <v>384</v>
      </c>
      <c r="AG7" s="64"/>
      <c r="AH7" s="64"/>
      <c r="AI7" s="64"/>
      <c r="AJ7" s="64"/>
      <c r="AK7" s="64"/>
      <c r="AL7" s="64"/>
      <c r="AM7" s="64"/>
    </row>
    <row r="8" spans="1:39">
      <c r="A8" s="86" t="s">
        <v>121</v>
      </c>
      <c r="B8" s="63" t="s">
        <v>227</v>
      </c>
      <c r="C8" s="65" t="s">
        <v>354</v>
      </c>
      <c r="D8" s="65" t="s">
        <v>353</v>
      </c>
      <c r="E8" s="65" t="s">
        <v>352</v>
      </c>
      <c r="F8" s="73" t="s">
        <v>518</v>
      </c>
      <c r="G8" s="73" t="s">
        <v>238</v>
      </c>
      <c r="H8" s="73" t="s">
        <v>238</v>
      </c>
      <c r="I8" s="86" t="s">
        <v>200</v>
      </c>
      <c r="J8" s="73"/>
      <c r="K8" s="65" t="s">
        <v>541</v>
      </c>
      <c r="L8" s="63"/>
      <c r="M8" s="86" t="s">
        <v>159</v>
      </c>
      <c r="N8" s="66" t="s">
        <v>385</v>
      </c>
      <c r="O8" s="66" t="s">
        <v>391</v>
      </c>
      <c r="P8" s="66" t="s">
        <v>390</v>
      </c>
      <c r="Q8" s="66" t="s">
        <v>389</v>
      </c>
      <c r="R8" s="73" t="s">
        <v>519</v>
      </c>
      <c r="S8" s="86" t="s">
        <v>190</v>
      </c>
      <c r="T8" s="66" t="s">
        <v>415</v>
      </c>
      <c r="U8" s="66" t="s">
        <v>414</v>
      </c>
      <c r="V8" s="66" t="s">
        <v>374</v>
      </c>
      <c r="W8" s="68" t="s">
        <v>190</v>
      </c>
      <c r="X8" s="73" t="s">
        <v>515</v>
      </c>
      <c r="Y8" s="64"/>
      <c r="Z8" s="64"/>
      <c r="AA8" s="64"/>
      <c r="AB8" s="72"/>
      <c r="AC8" s="72"/>
      <c r="AD8" s="72"/>
      <c r="AE8" s="86" t="s">
        <v>210</v>
      </c>
      <c r="AF8" s="65" t="s">
        <v>210</v>
      </c>
      <c r="AG8" s="64"/>
      <c r="AH8" s="64"/>
      <c r="AI8" s="64"/>
      <c r="AJ8" s="64"/>
      <c r="AK8" s="64"/>
      <c r="AL8" s="64"/>
      <c r="AM8" s="64"/>
    </row>
    <row r="9" spans="1:39">
      <c r="A9" s="86" t="s">
        <v>122</v>
      </c>
      <c r="B9" s="63" t="s">
        <v>227</v>
      </c>
      <c r="C9" s="65" t="s">
        <v>226</v>
      </c>
      <c r="D9" s="65" t="s">
        <v>224</v>
      </c>
      <c r="E9" s="65" t="s">
        <v>222</v>
      </c>
      <c r="F9" s="63" t="s">
        <v>441</v>
      </c>
      <c r="G9" s="63" t="s">
        <v>227</v>
      </c>
      <c r="H9" s="63" t="s">
        <v>445</v>
      </c>
      <c r="I9" s="86" t="s">
        <v>201</v>
      </c>
      <c r="J9" s="77">
        <v>5</v>
      </c>
      <c r="K9" s="66" t="s">
        <v>425</v>
      </c>
      <c r="L9" s="63" t="s">
        <v>520</v>
      </c>
      <c r="M9" s="86" t="s">
        <v>160</v>
      </c>
      <c r="N9" s="66" t="s">
        <v>392</v>
      </c>
      <c r="O9" s="66" t="s">
        <v>391</v>
      </c>
      <c r="P9" s="66" t="s">
        <v>390</v>
      </c>
      <c r="Q9" s="66" t="s">
        <v>389</v>
      </c>
      <c r="R9" s="73" t="s">
        <v>521</v>
      </c>
      <c r="S9" s="86" t="s">
        <v>191</v>
      </c>
      <c r="T9" s="66" t="s">
        <v>415</v>
      </c>
      <c r="U9" s="66" t="s">
        <v>419</v>
      </c>
      <c r="V9" s="66" t="s">
        <v>223</v>
      </c>
      <c r="W9" s="68" t="s">
        <v>418</v>
      </c>
      <c r="X9" s="63" t="s">
        <v>522</v>
      </c>
      <c r="Y9" s="64"/>
      <c r="Z9" s="64"/>
      <c r="AA9" s="64"/>
      <c r="AB9" s="72"/>
      <c r="AC9" s="72"/>
      <c r="AD9" s="72"/>
      <c r="AE9" s="64"/>
      <c r="AF9" s="64"/>
      <c r="AG9" s="64"/>
      <c r="AH9" s="64"/>
      <c r="AI9" s="64"/>
      <c r="AJ9" s="64"/>
      <c r="AK9" s="64"/>
      <c r="AL9" s="64"/>
      <c r="AM9" s="64"/>
    </row>
    <row r="10" spans="1:39">
      <c r="A10" s="86" t="s">
        <v>123</v>
      </c>
      <c r="B10" s="63" t="s">
        <v>227</v>
      </c>
      <c r="C10" s="65" t="s">
        <v>229</v>
      </c>
      <c r="D10" s="65" t="s">
        <v>223</v>
      </c>
      <c r="E10" s="65" t="s">
        <v>222</v>
      </c>
      <c r="F10" s="63" t="s">
        <v>441</v>
      </c>
      <c r="G10" s="63" t="s">
        <v>227</v>
      </c>
      <c r="H10" s="63" t="s">
        <v>445</v>
      </c>
      <c r="I10" s="86" t="s">
        <v>202</v>
      </c>
      <c r="J10" s="73">
        <v>3.6</v>
      </c>
      <c r="K10" s="66" t="s">
        <v>426</v>
      </c>
      <c r="L10" s="63" t="s">
        <v>523</v>
      </c>
      <c r="M10" s="86" t="s">
        <v>161</v>
      </c>
      <c r="N10" s="65" t="s">
        <v>432</v>
      </c>
      <c r="O10" s="65" t="s">
        <v>524</v>
      </c>
      <c r="P10" s="65" t="s">
        <v>374</v>
      </c>
      <c r="Q10" s="66" t="s">
        <v>525</v>
      </c>
      <c r="R10" s="63" t="s">
        <v>519</v>
      </c>
      <c r="S10" s="86" t="s">
        <v>192</v>
      </c>
      <c r="T10" s="67" t="s">
        <v>415</v>
      </c>
      <c r="U10" s="66" t="s">
        <v>422</v>
      </c>
      <c r="V10" s="66" t="s">
        <v>374</v>
      </c>
      <c r="W10" s="68" t="s">
        <v>192</v>
      </c>
      <c r="X10" s="63" t="s">
        <v>526</v>
      </c>
      <c r="Y10" s="64"/>
      <c r="Z10" s="64"/>
      <c r="AA10" s="64"/>
      <c r="AB10" s="72"/>
      <c r="AC10" s="64"/>
      <c r="AD10" s="72"/>
      <c r="AG10" s="64"/>
      <c r="AH10" s="64"/>
      <c r="AI10" s="64"/>
      <c r="AJ10" s="64"/>
      <c r="AK10" s="64"/>
      <c r="AL10" s="64"/>
      <c r="AM10" s="64"/>
    </row>
    <row r="11" spans="1:39">
      <c r="A11" s="86" t="s">
        <v>124</v>
      </c>
      <c r="B11" s="63" t="s">
        <v>227</v>
      </c>
      <c r="C11" s="65" t="s">
        <v>229</v>
      </c>
      <c r="D11" s="65" t="s">
        <v>223</v>
      </c>
      <c r="E11" s="65" t="s">
        <v>230</v>
      </c>
      <c r="F11" s="63" t="s">
        <v>441</v>
      </c>
      <c r="G11" s="63" t="s">
        <v>227</v>
      </c>
      <c r="H11" s="63" t="s">
        <v>445</v>
      </c>
      <c r="I11" s="86" t="s">
        <v>203</v>
      </c>
      <c r="J11" s="73">
        <v>3.6</v>
      </c>
      <c r="K11" s="66" t="s">
        <v>427</v>
      </c>
      <c r="L11" s="63" t="s">
        <v>443</v>
      </c>
      <c r="M11" s="86" t="s">
        <v>162</v>
      </c>
      <c r="N11" s="65"/>
      <c r="O11" s="65"/>
      <c r="P11" s="65"/>
      <c r="Q11" s="65"/>
      <c r="R11" s="63"/>
      <c r="S11" s="86" t="s">
        <v>193</v>
      </c>
      <c r="T11" s="66" t="s">
        <v>482</v>
      </c>
      <c r="U11" s="66" t="s">
        <v>412</v>
      </c>
      <c r="V11" s="66" t="s">
        <v>387</v>
      </c>
      <c r="W11" s="68" t="s">
        <v>193</v>
      </c>
      <c r="X11" s="63" t="s">
        <v>522</v>
      </c>
      <c r="Y11" s="64"/>
      <c r="Z11" s="64"/>
      <c r="AA11" s="64"/>
      <c r="AB11" s="72"/>
      <c r="AC11" s="72"/>
      <c r="AD11" s="72"/>
      <c r="AG11" s="64"/>
      <c r="AH11" s="64"/>
      <c r="AI11" s="64"/>
      <c r="AJ11" s="64"/>
      <c r="AK11" s="64"/>
      <c r="AL11" s="64"/>
      <c r="AM11" s="64"/>
    </row>
    <row r="12" spans="1:39">
      <c r="A12" s="86" t="s">
        <v>125</v>
      </c>
      <c r="B12" s="63" t="s">
        <v>228</v>
      </c>
      <c r="C12" s="66" t="s">
        <v>357</v>
      </c>
      <c r="D12" s="66" t="s">
        <v>356</v>
      </c>
      <c r="E12" s="66" t="s">
        <v>355</v>
      </c>
      <c r="F12" s="63" t="s">
        <v>527</v>
      </c>
      <c r="G12" s="63" t="s">
        <v>238</v>
      </c>
      <c r="H12" s="63" t="s">
        <v>238</v>
      </c>
      <c r="I12" s="86" t="s">
        <v>204</v>
      </c>
      <c r="J12" s="73"/>
      <c r="K12" s="66" t="s">
        <v>428</v>
      </c>
      <c r="L12" s="63"/>
      <c r="M12" s="86" t="s">
        <v>163</v>
      </c>
      <c r="N12" s="65"/>
      <c r="O12" s="65"/>
      <c r="P12" s="65"/>
      <c r="Q12" s="65"/>
      <c r="R12" s="63"/>
      <c r="S12" s="86" t="s">
        <v>194</v>
      </c>
      <c r="T12" s="66" t="s">
        <v>413</v>
      </c>
      <c r="U12" s="66" t="s">
        <v>412</v>
      </c>
      <c r="V12" s="66" t="s">
        <v>387</v>
      </c>
      <c r="W12" s="68" t="s">
        <v>435</v>
      </c>
      <c r="X12" s="63" t="s">
        <v>520</v>
      </c>
      <c r="Y12" s="64"/>
      <c r="Z12" s="64"/>
      <c r="AA12" s="64"/>
      <c r="AB12" s="72"/>
      <c r="AC12" s="72"/>
      <c r="AD12" s="72"/>
      <c r="AG12" s="64"/>
      <c r="AH12" s="64"/>
      <c r="AI12" s="64"/>
      <c r="AJ12" s="64"/>
      <c r="AK12" s="64"/>
      <c r="AL12" s="64"/>
      <c r="AM12" s="64"/>
    </row>
    <row r="13" spans="1:39">
      <c r="A13" s="86" t="s">
        <v>126</v>
      </c>
      <c r="B13" s="63" t="s">
        <v>227</v>
      </c>
      <c r="C13" s="66" t="s">
        <v>357</v>
      </c>
      <c r="D13" s="66" t="s">
        <v>359</v>
      </c>
      <c r="E13" s="66" t="s">
        <v>358</v>
      </c>
      <c r="F13" s="63" t="s">
        <v>520</v>
      </c>
      <c r="G13" s="63" t="s">
        <v>238</v>
      </c>
      <c r="H13" s="63" t="s">
        <v>238</v>
      </c>
      <c r="I13" s="86" t="s">
        <v>205</v>
      </c>
      <c r="J13" s="73"/>
      <c r="K13" s="65" t="s">
        <v>542</v>
      </c>
      <c r="L13" s="63"/>
      <c r="M13" s="86" t="s">
        <v>164</v>
      </c>
      <c r="N13" s="65"/>
      <c r="O13" s="65"/>
      <c r="P13" s="65"/>
      <c r="Q13" s="65"/>
      <c r="R13" s="63"/>
      <c r="S13" s="86" t="s">
        <v>195</v>
      </c>
      <c r="T13" s="66" t="s">
        <v>415</v>
      </c>
      <c r="U13" s="66" t="s">
        <v>422</v>
      </c>
      <c r="V13" s="66" t="s">
        <v>421</v>
      </c>
      <c r="W13" s="68" t="s">
        <v>420</v>
      </c>
      <c r="X13" s="63" t="s">
        <v>520</v>
      </c>
      <c r="Y13" s="64"/>
      <c r="Z13" s="64"/>
      <c r="AA13" s="64"/>
      <c r="AB13" s="64"/>
      <c r="AC13" s="64"/>
      <c r="AD13" s="64"/>
      <c r="AG13" s="64"/>
      <c r="AH13" s="64"/>
      <c r="AI13" s="64"/>
      <c r="AJ13" s="64"/>
      <c r="AK13" s="64"/>
      <c r="AL13" s="64"/>
      <c r="AM13" s="64"/>
    </row>
    <row r="14" spans="1:39">
      <c r="A14" s="86" t="s">
        <v>127</v>
      </c>
      <c r="B14" s="63"/>
      <c r="C14" s="66" t="s">
        <v>221</v>
      </c>
      <c r="D14" s="66" t="s">
        <v>223</v>
      </c>
      <c r="E14" s="66" t="s">
        <v>360</v>
      </c>
      <c r="F14" s="63" t="s">
        <v>520</v>
      </c>
      <c r="G14" s="63"/>
      <c r="H14" s="63"/>
      <c r="M14" s="86" t="s">
        <v>165</v>
      </c>
      <c r="N14" s="65"/>
      <c r="O14" s="65"/>
      <c r="P14" s="65"/>
      <c r="Q14" s="65"/>
      <c r="R14" s="63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G14" s="64"/>
      <c r="AH14" s="64"/>
      <c r="AI14" s="64"/>
      <c r="AJ14" s="64"/>
      <c r="AK14" s="64"/>
      <c r="AL14" s="64"/>
      <c r="AM14" s="64"/>
    </row>
    <row r="15" spans="1:39">
      <c r="A15" s="86" t="s">
        <v>128</v>
      </c>
      <c r="B15" s="63" t="s">
        <v>227</v>
      </c>
      <c r="C15" s="65" t="s">
        <v>354</v>
      </c>
      <c r="D15" s="65" t="s">
        <v>353</v>
      </c>
      <c r="E15" s="65" t="s">
        <v>361</v>
      </c>
      <c r="F15" s="63" t="s">
        <v>520</v>
      </c>
      <c r="G15" s="63" t="s">
        <v>238</v>
      </c>
      <c r="H15" s="63" t="s">
        <v>238</v>
      </c>
      <c r="M15" s="86" t="s">
        <v>166</v>
      </c>
      <c r="N15" s="65"/>
      <c r="O15" s="65"/>
      <c r="P15" s="65"/>
      <c r="Q15" s="65"/>
      <c r="R15" s="63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G15" s="64"/>
      <c r="AH15" s="64"/>
      <c r="AI15" s="64"/>
      <c r="AJ15" s="64"/>
      <c r="AK15" s="64"/>
      <c r="AL15" s="64"/>
      <c r="AM15" s="64"/>
    </row>
    <row r="16" spans="1:39">
      <c r="A16" s="86" t="s">
        <v>129</v>
      </c>
      <c r="B16" s="63" t="s">
        <v>227</v>
      </c>
      <c r="C16" s="66" t="s">
        <v>357</v>
      </c>
      <c r="D16" s="65" t="s">
        <v>224</v>
      </c>
      <c r="E16" s="65" t="s">
        <v>362</v>
      </c>
      <c r="F16" s="63" t="s">
        <v>520</v>
      </c>
      <c r="G16" s="63" t="s">
        <v>227</v>
      </c>
      <c r="H16" s="63" t="s">
        <v>445</v>
      </c>
      <c r="I16" s="64"/>
      <c r="J16" s="64"/>
      <c r="K16" s="64"/>
      <c r="L16" s="64"/>
      <c r="M16" s="86" t="s">
        <v>167</v>
      </c>
      <c r="N16" s="66" t="s">
        <v>394</v>
      </c>
      <c r="O16" s="66" t="s">
        <v>393</v>
      </c>
      <c r="P16" s="66" t="s">
        <v>387</v>
      </c>
      <c r="Q16" s="66" t="s">
        <v>167</v>
      </c>
      <c r="R16" s="63" t="s">
        <v>533</v>
      </c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</row>
    <row r="17" spans="1:39">
      <c r="A17" s="86" t="s">
        <v>481</v>
      </c>
      <c r="B17" s="63"/>
      <c r="C17" s="63"/>
      <c r="D17" s="63"/>
      <c r="E17" s="63" t="s">
        <v>536</v>
      </c>
      <c r="F17" s="63" t="s">
        <v>520</v>
      </c>
      <c r="G17" s="63"/>
      <c r="H17" s="63"/>
      <c r="I17" s="64"/>
      <c r="J17" s="64"/>
      <c r="K17" s="64"/>
      <c r="L17" s="64"/>
      <c r="M17" s="86" t="s">
        <v>168</v>
      </c>
      <c r="N17" s="66" t="s">
        <v>397</v>
      </c>
      <c r="O17" s="66" t="s">
        <v>396</v>
      </c>
      <c r="P17" s="66" t="s">
        <v>387</v>
      </c>
      <c r="Q17" s="66" t="s">
        <v>395</v>
      </c>
      <c r="R17" s="63" t="s">
        <v>533</v>
      </c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</row>
    <row r="18" spans="1:39">
      <c r="A18" s="86" t="s">
        <v>130</v>
      </c>
      <c r="B18" s="63"/>
      <c r="C18" s="66" t="s">
        <v>364</v>
      </c>
      <c r="D18" s="66" t="s">
        <v>223</v>
      </c>
      <c r="E18" s="66" t="s">
        <v>363</v>
      </c>
      <c r="F18" s="63" t="s">
        <v>520</v>
      </c>
      <c r="G18" s="63"/>
      <c r="H18" s="63"/>
      <c r="I18" s="64"/>
      <c r="J18" s="64"/>
      <c r="K18" s="64"/>
      <c r="L18" s="64"/>
      <c r="M18" s="86" t="s">
        <v>169</v>
      </c>
      <c r="N18" s="66" t="s">
        <v>401</v>
      </c>
      <c r="O18" s="66" t="s">
        <v>400</v>
      </c>
      <c r="P18" s="66" t="s">
        <v>399</v>
      </c>
      <c r="Q18" s="66" t="s">
        <v>398</v>
      </c>
      <c r="R18" s="63" t="s">
        <v>528</v>
      </c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</row>
    <row r="19" spans="1:39">
      <c r="A19" s="86" t="s">
        <v>131</v>
      </c>
      <c r="B19" s="63" t="s">
        <v>228</v>
      </c>
      <c r="C19" s="66" t="s">
        <v>225</v>
      </c>
      <c r="D19" s="66" t="s">
        <v>366</v>
      </c>
      <c r="E19" s="66" t="s">
        <v>365</v>
      </c>
      <c r="F19" s="63" t="s">
        <v>520</v>
      </c>
      <c r="G19" s="63" t="s">
        <v>228</v>
      </c>
      <c r="H19" s="63" t="s">
        <v>529</v>
      </c>
      <c r="I19" s="64"/>
      <c r="J19" s="64"/>
      <c r="K19" s="64"/>
      <c r="L19" s="64"/>
      <c r="M19" s="86" t="s">
        <v>170</v>
      </c>
      <c r="N19" s="65"/>
      <c r="O19" s="65"/>
      <c r="P19" s="65"/>
      <c r="Q19" s="66" t="s">
        <v>398</v>
      </c>
      <c r="R19" s="63" t="s">
        <v>530</v>
      </c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</row>
    <row r="20" spans="1:39">
      <c r="A20" s="86" t="s">
        <v>132</v>
      </c>
      <c r="B20" s="63"/>
      <c r="C20" s="66" t="s">
        <v>369</v>
      </c>
      <c r="D20" s="66" t="s">
        <v>368</v>
      </c>
      <c r="E20" s="66" t="s">
        <v>367</v>
      </c>
      <c r="F20" s="63" t="s">
        <v>520</v>
      </c>
      <c r="G20" s="63"/>
      <c r="H20" s="63"/>
      <c r="I20" s="64"/>
      <c r="J20" s="64"/>
      <c r="K20" s="64"/>
      <c r="L20" s="64"/>
      <c r="M20" s="86" t="s">
        <v>171</v>
      </c>
      <c r="N20" s="66" t="s">
        <v>382</v>
      </c>
      <c r="O20" s="66" t="s">
        <v>400</v>
      </c>
      <c r="P20" s="66" t="s">
        <v>399</v>
      </c>
      <c r="Q20" s="66" t="s">
        <v>402</v>
      </c>
      <c r="R20" s="63" t="s">
        <v>528</v>
      </c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</row>
    <row r="21" spans="1:39">
      <c r="A21" s="86" t="s">
        <v>133</v>
      </c>
      <c r="B21" s="63" t="s">
        <v>227</v>
      </c>
      <c r="C21" s="66" t="s">
        <v>372</v>
      </c>
      <c r="D21" s="66" t="s">
        <v>371</v>
      </c>
      <c r="E21" s="66" t="s">
        <v>370</v>
      </c>
      <c r="F21" s="63" t="s">
        <v>520</v>
      </c>
      <c r="G21" s="63" t="s">
        <v>238</v>
      </c>
      <c r="H21" s="63" t="s">
        <v>238</v>
      </c>
      <c r="I21" s="64"/>
      <c r="J21" s="64"/>
      <c r="K21" s="64"/>
      <c r="L21" s="64"/>
      <c r="M21" s="86" t="s">
        <v>172</v>
      </c>
      <c r="N21" s="65" t="s">
        <v>401</v>
      </c>
      <c r="O21" s="65" t="s">
        <v>434</v>
      </c>
      <c r="P21" s="65" t="s">
        <v>223</v>
      </c>
      <c r="Q21" s="65" t="s">
        <v>433</v>
      </c>
      <c r="R21" s="63" t="s">
        <v>543</v>
      </c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</row>
    <row r="22" spans="1:39">
      <c r="A22" s="86" t="s">
        <v>134</v>
      </c>
      <c r="B22" s="63"/>
      <c r="C22" s="65"/>
      <c r="D22" s="65"/>
      <c r="E22" s="65" t="s">
        <v>537</v>
      </c>
      <c r="F22" s="63" t="s">
        <v>520</v>
      </c>
      <c r="G22" s="63"/>
      <c r="H22" s="63"/>
      <c r="I22" s="64"/>
      <c r="J22" s="64"/>
      <c r="K22" s="64"/>
      <c r="L22" s="64"/>
      <c r="M22" s="86" t="s">
        <v>173</v>
      </c>
      <c r="N22" s="66" t="s">
        <v>385</v>
      </c>
      <c r="O22" s="66" t="s">
        <v>405</v>
      </c>
      <c r="P22" s="66" t="s">
        <v>387</v>
      </c>
      <c r="Q22" s="66" t="s">
        <v>404</v>
      </c>
      <c r="R22" s="63" t="s">
        <v>531</v>
      </c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I22" s="64"/>
      <c r="AJ22" s="64"/>
      <c r="AK22" s="64"/>
      <c r="AL22" s="64"/>
      <c r="AM22" s="64"/>
    </row>
    <row r="23" spans="1:39">
      <c r="A23" s="86" t="s">
        <v>135</v>
      </c>
      <c r="B23" s="63"/>
      <c r="C23" s="65"/>
      <c r="D23" s="65"/>
      <c r="E23" s="65" t="s">
        <v>537</v>
      </c>
      <c r="F23" s="63" t="s">
        <v>520</v>
      </c>
      <c r="G23" s="63"/>
      <c r="H23" s="63"/>
      <c r="I23" s="64"/>
      <c r="J23" s="64"/>
      <c r="K23" s="64"/>
      <c r="L23" s="64"/>
      <c r="M23" s="86" t="s">
        <v>174</v>
      </c>
      <c r="N23" s="65"/>
      <c r="O23" s="65"/>
      <c r="P23" s="65"/>
      <c r="Q23" s="66" t="s">
        <v>404</v>
      </c>
      <c r="R23" s="63" t="s">
        <v>531</v>
      </c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I23" s="64"/>
      <c r="AJ23" s="64"/>
      <c r="AK23" s="64"/>
      <c r="AL23" s="64"/>
      <c r="AM23" s="64"/>
    </row>
    <row r="24" spans="1:39">
      <c r="A24" s="86" t="s">
        <v>136</v>
      </c>
      <c r="B24" s="63" t="s">
        <v>227</v>
      </c>
      <c r="C24" s="66" t="s">
        <v>225</v>
      </c>
      <c r="D24" s="66" t="s">
        <v>374</v>
      </c>
      <c r="E24" s="66" t="s">
        <v>373</v>
      </c>
      <c r="F24" s="63" t="s">
        <v>520</v>
      </c>
      <c r="G24" s="63" t="s">
        <v>227</v>
      </c>
      <c r="H24" s="63" t="s">
        <v>445</v>
      </c>
      <c r="I24" s="64"/>
      <c r="J24" s="64"/>
      <c r="K24" s="64"/>
      <c r="L24" s="64"/>
      <c r="M24" s="86" t="s">
        <v>175</v>
      </c>
      <c r="N24" s="66" t="s">
        <v>401</v>
      </c>
      <c r="O24" s="66" t="s">
        <v>407</v>
      </c>
      <c r="P24" s="66" t="s">
        <v>223</v>
      </c>
      <c r="Q24" s="66" t="s">
        <v>406</v>
      </c>
      <c r="R24" s="63" t="s">
        <v>532</v>
      </c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I24" s="64"/>
      <c r="AJ24" s="64"/>
      <c r="AK24" s="64"/>
      <c r="AL24" s="64"/>
      <c r="AM24" s="64"/>
    </row>
    <row r="25" spans="1:39">
      <c r="A25" s="86" t="s">
        <v>137</v>
      </c>
      <c r="B25" s="63" t="s">
        <v>227</v>
      </c>
      <c r="C25" s="65" t="s">
        <v>221</v>
      </c>
      <c r="D25" s="65" t="s">
        <v>236</v>
      </c>
      <c r="E25" s="65" t="s">
        <v>235</v>
      </c>
      <c r="F25" s="63" t="s">
        <v>523</v>
      </c>
      <c r="G25" s="63" t="s">
        <v>238</v>
      </c>
      <c r="H25" s="63" t="s">
        <v>238</v>
      </c>
      <c r="I25" s="64"/>
      <c r="J25" s="64"/>
      <c r="K25" s="64"/>
      <c r="L25" s="64"/>
      <c r="M25" s="86" t="s">
        <v>176</v>
      </c>
      <c r="N25" s="65"/>
      <c r="O25" s="65"/>
      <c r="P25" s="65"/>
      <c r="Q25" s="66" t="s">
        <v>404</v>
      </c>
      <c r="R25" s="63" t="s">
        <v>531</v>
      </c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I25" s="64"/>
      <c r="AJ25" s="64"/>
      <c r="AK25" s="64"/>
      <c r="AL25" s="64"/>
      <c r="AM25" s="64"/>
    </row>
    <row r="26" spans="1:39">
      <c r="A26" s="86" t="s">
        <v>138</v>
      </c>
      <c r="B26" s="63" t="s">
        <v>227</v>
      </c>
      <c r="C26" s="65" t="s">
        <v>221</v>
      </c>
      <c r="D26" s="65" t="s">
        <v>233</v>
      </c>
      <c r="E26" s="65" t="s">
        <v>234</v>
      </c>
      <c r="F26" s="63" t="s">
        <v>523</v>
      </c>
      <c r="G26" s="63" t="s">
        <v>238</v>
      </c>
      <c r="H26" s="63" t="s">
        <v>238</v>
      </c>
      <c r="I26" s="64"/>
      <c r="J26" s="64"/>
      <c r="K26" s="64"/>
      <c r="L26" s="64"/>
      <c r="M26" s="86" t="s">
        <v>177</v>
      </c>
      <c r="N26" s="66" t="s">
        <v>394</v>
      </c>
      <c r="O26" s="66" t="s">
        <v>400</v>
      </c>
      <c r="P26" s="66" t="s">
        <v>223</v>
      </c>
      <c r="Q26" s="66" t="s">
        <v>406</v>
      </c>
      <c r="R26" s="63" t="s">
        <v>531</v>
      </c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I26" s="64"/>
      <c r="AJ26" s="64"/>
      <c r="AK26" s="64"/>
      <c r="AL26" s="64"/>
      <c r="AM26" s="64"/>
    </row>
    <row r="27" spans="1:39">
      <c r="A27" s="86" t="s">
        <v>139</v>
      </c>
      <c r="B27" s="63"/>
      <c r="C27" s="65" t="s">
        <v>221</v>
      </c>
      <c r="D27" s="65" t="s">
        <v>233</v>
      </c>
      <c r="E27" s="65" t="s">
        <v>232</v>
      </c>
      <c r="F27" s="63" t="s">
        <v>523</v>
      </c>
      <c r="G27" s="63"/>
      <c r="H27" s="63"/>
      <c r="I27" s="64"/>
      <c r="J27" s="64"/>
      <c r="K27" s="64"/>
      <c r="L27" s="64"/>
      <c r="M27" s="86" t="s">
        <v>178</v>
      </c>
      <c r="N27" s="65"/>
      <c r="O27" s="65"/>
      <c r="P27" s="65"/>
      <c r="Q27" s="66" t="s">
        <v>406</v>
      </c>
      <c r="R27" s="63" t="s">
        <v>531</v>
      </c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I27" s="64"/>
      <c r="AJ27" s="64"/>
      <c r="AK27" s="64"/>
      <c r="AL27" s="64"/>
      <c r="AM27" s="64"/>
    </row>
    <row r="28" spans="1:39">
      <c r="A28" s="86" t="s">
        <v>140</v>
      </c>
      <c r="B28" s="63"/>
      <c r="C28" s="65"/>
      <c r="D28" s="65"/>
      <c r="E28" s="65" t="s">
        <v>538</v>
      </c>
      <c r="F28" s="63" t="s">
        <v>523</v>
      </c>
      <c r="G28" s="63"/>
      <c r="H28" s="63"/>
      <c r="I28" s="64"/>
      <c r="J28" s="64"/>
      <c r="K28" s="64"/>
      <c r="L28" s="64"/>
      <c r="M28" s="86" t="s">
        <v>179</v>
      </c>
      <c r="N28" s="65"/>
      <c r="O28" s="65"/>
      <c r="P28" s="65"/>
      <c r="Q28" s="66" t="s">
        <v>406</v>
      </c>
      <c r="R28" s="63" t="s">
        <v>531</v>
      </c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I28" s="64"/>
      <c r="AJ28" s="64"/>
      <c r="AK28" s="64"/>
      <c r="AL28" s="64"/>
      <c r="AM28" s="64"/>
    </row>
    <row r="29" spans="1:39">
      <c r="A29" s="86" t="s">
        <v>141</v>
      </c>
      <c r="B29" s="63"/>
      <c r="C29" s="65"/>
      <c r="D29" s="65"/>
      <c r="E29" s="65" t="s">
        <v>539</v>
      </c>
      <c r="F29" s="63" t="s">
        <v>523</v>
      </c>
      <c r="G29" s="63"/>
      <c r="H29" s="63"/>
      <c r="I29" s="64"/>
      <c r="J29" s="64"/>
      <c r="K29" s="64"/>
      <c r="L29" s="64"/>
      <c r="M29" s="86" t="s">
        <v>180</v>
      </c>
      <c r="N29" s="65"/>
      <c r="O29" s="65"/>
      <c r="P29" s="65"/>
      <c r="Q29" s="66" t="s">
        <v>406</v>
      </c>
      <c r="R29" s="63" t="s">
        <v>531</v>
      </c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I29" s="64"/>
      <c r="AJ29" s="64"/>
      <c r="AK29" s="64"/>
      <c r="AL29" s="64"/>
      <c r="AM29" s="64"/>
    </row>
    <row r="30" spans="1:39">
      <c r="A30" s="86" t="s">
        <v>142</v>
      </c>
      <c r="B30" s="63"/>
      <c r="C30" s="65"/>
      <c r="D30" s="65"/>
      <c r="E30" s="65" t="s">
        <v>539</v>
      </c>
      <c r="F30" s="63" t="s">
        <v>523</v>
      </c>
      <c r="G30" s="63"/>
      <c r="H30" s="63"/>
      <c r="I30" s="64"/>
      <c r="J30" s="64"/>
      <c r="K30" s="64"/>
      <c r="L30" s="64"/>
      <c r="M30" s="86" t="s">
        <v>181</v>
      </c>
      <c r="N30" s="65"/>
      <c r="O30" s="65"/>
      <c r="P30" s="65"/>
      <c r="Q30" s="66" t="s">
        <v>406</v>
      </c>
      <c r="R30" s="63" t="s">
        <v>531</v>
      </c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</row>
    <row r="31" spans="1:39">
      <c r="A31" s="86" t="s">
        <v>143</v>
      </c>
      <c r="B31" s="63"/>
      <c r="C31" s="65"/>
      <c r="D31" s="65"/>
      <c r="E31" s="65" t="s">
        <v>539</v>
      </c>
      <c r="F31" s="63" t="s">
        <v>523</v>
      </c>
      <c r="G31" s="63"/>
      <c r="H31" s="63"/>
      <c r="I31" s="64"/>
      <c r="J31" s="64"/>
      <c r="K31" s="64"/>
      <c r="L31" s="64"/>
      <c r="M31" s="86" t="s">
        <v>182</v>
      </c>
      <c r="N31" s="65" t="s">
        <v>432</v>
      </c>
      <c r="O31" s="65" t="s">
        <v>431</v>
      </c>
      <c r="P31" s="65" t="s">
        <v>223</v>
      </c>
      <c r="Q31" s="66" t="s">
        <v>406</v>
      </c>
      <c r="R31" s="63" t="s">
        <v>531</v>
      </c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</row>
    <row r="32" spans="1:39">
      <c r="A32" s="86" t="s">
        <v>144</v>
      </c>
      <c r="B32" s="63"/>
      <c r="C32" s="65" t="s">
        <v>229</v>
      </c>
      <c r="D32" s="65" t="s">
        <v>223</v>
      </c>
      <c r="E32" s="65" t="s">
        <v>237</v>
      </c>
      <c r="F32" s="63" t="s">
        <v>523</v>
      </c>
      <c r="G32" s="63"/>
      <c r="H32" s="63"/>
      <c r="I32" s="64"/>
      <c r="J32" s="64"/>
      <c r="K32" s="64"/>
      <c r="L32" s="64"/>
      <c r="M32" s="86" t="s">
        <v>183</v>
      </c>
      <c r="N32" s="65"/>
      <c r="O32" s="65"/>
      <c r="P32" s="65"/>
      <c r="Q32" s="66" t="s">
        <v>406</v>
      </c>
      <c r="R32" s="63" t="s">
        <v>531</v>
      </c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</row>
    <row r="33" spans="1:39">
      <c r="A33" s="86" t="s">
        <v>145</v>
      </c>
      <c r="B33" s="63" t="s">
        <v>227</v>
      </c>
      <c r="C33" s="65" t="s">
        <v>229</v>
      </c>
      <c r="D33" s="65" t="s">
        <v>223</v>
      </c>
      <c r="E33" s="65" t="s">
        <v>239</v>
      </c>
      <c r="F33" s="63" t="s">
        <v>523</v>
      </c>
      <c r="G33" s="63" t="s">
        <v>227</v>
      </c>
      <c r="H33" s="63" t="s">
        <v>445</v>
      </c>
      <c r="I33" s="64"/>
      <c r="J33" s="64"/>
      <c r="K33" s="64"/>
      <c r="L33" s="64"/>
      <c r="M33" s="86" t="s">
        <v>184</v>
      </c>
      <c r="N33" s="65"/>
      <c r="O33" s="65"/>
      <c r="P33" s="65"/>
      <c r="Q33" s="65" t="s">
        <v>544</v>
      </c>
      <c r="R33" s="63" t="s">
        <v>531</v>
      </c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</row>
    <row r="34" spans="1:39">
      <c r="A34" s="86" t="s">
        <v>146</v>
      </c>
      <c r="B34" s="63" t="s">
        <v>227</v>
      </c>
      <c r="C34" s="65" t="s">
        <v>225</v>
      </c>
      <c r="D34" s="65" t="s">
        <v>223</v>
      </c>
      <c r="E34" s="65" t="s">
        <v>240</v>
      </c>
      <c r="F34" s="63" t="s">
        <v>523</v>
      </c>
      <c r="G34" s="63" t="s">
        <v>227</v>
      </c>
      <c r="H34" s="63" t="s">
        <v>445</v>
      </c>
      <c r="I34" s="64"/>
      <c r="J34" s="64"/>
      <c r="K34" s="64"/>
      <c r="L34" s="64"/>
      <c r="M34" s="86" t="s">
        <v>185</v>
      </c>
      <c r="N34" s="66" t="s">
        <v>385</v>
      </c>
      <c r="O34" s="66" t="s">
        <v>403</v>
      </c>
      <c r="P34" s="66" t="s">
        <v>371</v>
      </c>
      <c r="Q34" s="66" t="s">
        <v>408</v>
      </c>
      <c r="R34" s="63" t="s">
        <v>533</v>
      </c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</row>
    <row r="35" spans="1:39">
      <c r="A35" s="86" t="s">
        <v>147</v>
      </c>
      <c r="B35" s="63" t="s">
        <v>227</v>
      </c>
      <c r="C35" s="66" t="s">
        <v>372</v>
      </c>
      <c r="D35" s="66" t="s">
        <v>223</v>
      </c>
      <c r="E35" s="66" t="s">
        <v>240</v>
      </c>
      <c r="F35" s="63" t="s">
        <v>523</v>
      </c>
      <c r="G35" s="63" t="s">
        <v>238</v>
      </c>
      <c r="H35" s="63" t="s">
        <v>238</v>
      </c>
      <c r="I35" s="64"/>
      <c r="J35" s="64"/>
      <c r="K35" s="64"/>
      <c r="L35" s="64"/>
      <c r="M35" s="86" t="s">
        <v>495</v>
      </c>
      <c r="N35" s="66" t="s">
        <v>394</v>
      </c>
      <c r="O35" s="66" t="s">
        <v>411</v>
      </c>
      <c r="P35" s="66" t="s">
        <v>410</v>
      </c>
      <c r="Q35" s="66" t="s">
        <v>409</v>
      </c>
      <c r="R35" s="63" t="s">
        <v>534</v>
      </c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</row>
    <row r="36" spans="1:39">
      <c r="A36" s="86" t="s">
        <v>148</v>
      </c>
      <c r="B36" s="63"/>
      <c r="C36" s="66" t="s">
        <v>229</v>
      </c>
      <c r="D36" s="66" t="s">
        <v>223</v>
      </c>
      <c r="E36" s="66" t="s">
        <v>240</v>
      </c>
      <c r="F36" s="63" t="s">
        <v>523</v>
      </c>
      <c r="G36" s="63"/>
      <c r="H36" s="63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</row>
    <row r="37" spans="1:39">
      <c r="A37" s="86" t="s">
        <v>149</v>
      </c>
      <c r="B37" s="63" t="s">
        <v>227</v>
      </c>
      <c r="C37" s="66" t="s">
        <v>229</v>
      </c>
      <c r="D37" s="66" t="s">
        <v>223</v>
      </c>
      <c r="E37" s="66" t="s">
        <v>240</v>
      </c>
      <c r="F37" s="63" t="s">
        <v>523</v>
      </c>
      <c r="G37" s="63" t="s">
        <v>227</v>
      </c>
      <c r="H37" s="63" t="s">
        <v>445</v>
      </c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</row>
    <row r="38" spans="1:39">
      <c r="A38" s="86" t="s">
        <v>150</v>
      </c>
      <c r="B38" s="63"/>
      <c r="C38" s="66" t="s">
        <v>376</v>
      </c>
      <c r="D38" s="66" t="s">
        <v>371</v>
      </c>
      <c r="E38" s="66" t="s">
        <v>375</v>
      </c>
      <c r="F38" s="63" t="s">
        <v>523</v>
      </c>
      <c r="G38" s="63"/>
      <c r="H38" s="63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</row>
    <row r="39" spans="1:39">
      <c r="A39" s="86" t="s">
        <v>151</v>
      </c>
      <c r="B39" s="63"/>
      <c r="C39" s="66" t="s">
        <v>225</v>
      </c>
      <c r="D39" s="66" t="s">
        <v>374</v>
      </c>
      <c r="E39" s="66" t="s">
        <v>377</v>
      </c>
      <c r="F39" s="63" t="s">
        <v>523</v>
      </c>
      <c r="G39" s="63"/>
      <c r="H39" s="63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</row>
    <row r="40" spans="1:39">
      <c r="A40" s="86" t="s">
        <v>152</v>
      </c>
      <c r="B40" s="63" t="s">
        <v>228</v>
      </c>
      <c r="C40" s="66" t="s">
        <v>225</v>
      </c>
      <c r="D40" s="66" t="s">
        <v>374</v>
      </c>
      <c r="E40" s="66" t="s">
        <v>377</v>
      </c>
      <c r="F40" s="63" t="s">
        <v>523</v>
      </c>
      <c r="G40" s="63" t="s">
        <v>228</v>
      </c>
      <c r="H40" s="63" t="s">
        <v>535</v>
      </c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</row>
    <row r="41" spans="1:39">
      <c r="A41" s="86" t="s">
        <v>153</v>
      </c>
      <c r="B41" s="63" t="s">
        <v>227</v>
      </c>
      <c r="C41" s="66" t="s">
        <v>229</v>
      </c>
      <c r="D41" s="66" t="s">
        <v>374</v>
      </c>
      <c r="E41" s="66" t="s">
        <v>377</v>
      </c>
      <c r="F41" s="63" t="s">
        <v>523</v>
      </c>
      <c r="G41" s="63" t="s">
        <v>227</v>
      </c>
      <c r="H41" s="63" t="s">
        <v>445</v>
      </c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</row>
    <row r="42" spans="1:39">
      <c r="A42" s="86" t="s">
        <v>154</v>
      </c>
      <c r="B42" s="63"/>
      <c r="C42" s="66" t="s">
        <v>225</v>
      </c>
      <c r="D42" s="66" t="s">
        <v>374</v>
      </c>
      <c r="E42" s="66" t="s">
        <v>378</v>
      </c>
      <c r="F42" s="63" t="s">
        <v>523</v>
      </c>
      <c r="G42" s="63"/>
      <c r="H42" s="63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</row>
    <row r="43" spans="1:39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</row>
    <row r="44" spans="1:39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</row>
  </sheetData>
  <mergeCells count="15">
    <mergeCell ref="A1:H1"/>
    <mergeCell ref="I1:L1"/>
    <mergeCell ref="M1:R1"/>
    <mergeCell ref="S1:X1"/>
    <mergeCell ref="Y1:AA1"/>
    <mergeCell ref="B2:F2"/>
    <mergeCell ref="G2:H2"/>
    <mergeCell ref="J2:L2"/>
    <mergeCell ref="N2:R2"/>
    <mergeCell ref="T2:X2"/>
    <mergeCell ref="Z2:AA2"/>
    <mergeCell ref="AC2:AD2"/>
    <mergeCell ref="AB1:AD1"/>
    <mergeCell ref="AE1:AF1"/>
    <mergeCell ref="AG1:AH1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DS</vt:lpstr>
      <vt:lpstr>ACT</vt:lpstr>
      <vt:lpstr>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PROVAL</dc:creator>
  <cp:lastModifiedBy>이민준</cp:lastModifiedBy>
  <dcterms:created xsi:type="dcterms:W3CDTF">2015-06-05T18:19:34Z</dcterms:created>
  <dcterms:modified xsi:type="dcterms:W3CDTF">2025-09-20T14:42:38Z</dcterms:modified>
</cp:coreProperties>
</file>