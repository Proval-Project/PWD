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jun\Downloads\prohject\PWD\projec\backend\EstimateRequestSystem\EstimateRequestSystem\Templates\"/>
    </mc:Choice>
  </mc:AlternateContent>
  <xr:revisionPtr revIDLastSave="0" documentId="13_ncr:1_{508D0F4B-5973-4A8F-A75D-9728A2193C24}" xr6:coauthVersionLast="47" xr6:coauthVersionMax="47" xr10:uidLastSave="{00000000-0000-0000-0000-000000000000}"/>
  <bookViews>
    <workbookView xWindow="14295" yWindow="0" windowWidth="14610" windowHeight="15585" xr2:uid="{0118CC28-8635-6148-9E4C-793E5D9E433B}"/>
  </bookViews>
  <sheets>
    <sheet name="DS" sheetId="3" r:id="rId1"/>
    <sheet name="ACT" sheetId="4" state="hidden" r:id="rId2"/>
    <sheet name="ACC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1" i="3" l="1" a="1"/>
  <c r="BQ11" i="3" s="1"/>
  <c r="BQ40" i="3"/>
  <c r="BQ37" i="3"/>
  <c r="BQ36" i="3"/>
  <c r="BQ35" i="3"/>
  <c r="BQ34" i="3"/>
  <c r="BQ33" i="3"/>
  <c r="CA32" i="3"/>
  <c r="BQ32" i="3"/>
  <c r="BQ31" i="3"/>
  <c r="BQ30" i="3"/>
  <c r="BQ29" i="3"/>
  <c r="CA28" i="3"/>
  <c r="BQ28" i="3"/>
  <c r="BQ27" i="3"/>
  <c r="BQ26" i="3"/>
  <c r="BQ25" i="3"/>
  <c r="CA24" i="3"/>
  <c r="BQ24" i="3"/>
  <c r="BQ23" i="3"/>
  <c r="BQ22" i="3"/>
  <c r="BQ21" i="3"/>
  <c r="CA20" i="3"/>
  <c r="BQ20" i="3"/>
  <c r="BQ19" i="3"/>
  <c r="BQ18" i="3"/>
  <c r="BQ17" i="3"/>
  <c r="BQ16" i="3"/>
  <c r="BQ15" i="3"/>
  <c r="BQ14" i="3"/>
  <c r="BQ13" i="3"/>
  <c r="BQ12" i="3"/>
  <c r="CA10" i="3"/>
  <c r="BQ10" i="3"/>
  <c r="BQ9" i="3"/>
  <c r="BQ8" i="3"/>
  <c r="CN14" i="3"/>
  <c r="CN13" i="3"/>
  <c r="CN12" i="3"/>
  <c r="CN10" i="3"/>
  <c r="CN9" i="3"/>
  <c r="CO8" i="3" a="1"/>
  <c r="CO8" i="3" s="1"/>
  <c r="CN8" i="3" a="1"/>
  <c r="CN8" i="3" s="1"/>
  <c r="CO7" i="3"/>
  <c r="CN7" i="3" a="1"/>
  <c r="CN7" i="3" s="1"/>
  <c r="CN6" i="3"/>
  <c r="CS37" i="3"/>
  <c r="CS36" i="3"/>
  <c r="CS34" i="3"/>
  <c r="CS33" i="3"/>
  <c r="CS31" i="3"/>
  <c r="CS29" i="3"/>
  <c r="CS27" i="3"/>
  <c r="CS26" i="3"/>
  <c r="CS25" i="3"/>
  <c r="CS23" i="3"/>
  <c r="CS22" i="3"/>
  <c r="CS21" i="3"/>
  <c r="CS20" i="3"/>
  <c r="CS19" i="3"/>
  <c r="CS17" i="3"/>
  <c r="CS16" i="3"/>
  <c r="CS15" i="3"/>
  <c r="CS14" i="3"/>
  <c r="CS13" i="3"/>
  <c r="CS11" i="3"/>
  <c r="CS10" i="3"/>
  <c r="CS9" i="3"/>
  <c r="CS8" i="3"/>
  <c r="CS7" i="3"/>
  <c r="CS6" i="3"/>
  <c r="CS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<sst xmlns="http://schemas.openxmlformats.org/spreadsheetml/2006/main" count="1341" uniqueCount="605">
  <si>
    <t>Approved By</t>
  </si>
  <si>
    <t>Checked By</t>
    <phoneticPr fontId="9" type="noConversion"/>
  </si>
  <si>
    <t>Prepared By</t>
    <phoneticPr fontId="9" type="noConversion"/>
  </si>
  <si>
    <t>Revision</t>
    <phoneticPr fontId="9" type="noConversion"/>
  </si>
  <si>
    <t>Date</t>
    <phoneticPr fontId="10" type="noConversion"/>
  </si>
  <si>
    <t>No.</t>
    <phoneticPr fontId="9" type="noConversion"/>
  </si>
  <si>
    <t xml:space="preserve"> </t>
    <phoneticPr fontId="9" type="noConversion"/>
  </si>
  <si>
    <t>NOTE</t>
    <phoneticPr fontId="9" type="noConversion"/>
  </si>
  <si>
    <t>Sunshade Material</t>
    <phoneticPr fontId="9" type="noConversion"/>
  </si>
  <si>
    <t>Oil-Free / Water-Free Treatment</t>
    <phoneticPr fontId="9" type="noConversion"/>
  </si>
  <si>
    <t>Tubing Material</t>
    <phoneticPr fontId="9" type="noConversion"/>
  </si>
  <si>
    <t>Painting Type</t>
    <phoneticPr fontId="9" type="noConversion"/>
  </si>
  <si>
    <t>Jacket Material</t>
    <phoneticPr fontId="9" type="noConversion"/>
  </si>
  <si>
    <t>Painting Color (RAL No.)</t>
    <phoneticPr fontId="9" type="noConversion"/>
  </si>
  <si>
    <t>Jacket</t>
    <phoneticPr fontId="9" type="noConversion"/>
  </si>
  <si>
    <t>Flow Action To</t>
    <phoneticPr fontId="9" type="noConversion"/>
  </si>
  <si>
    <t xml:space="preserve"> </t>
    <phoneticPr fontId="10" type="noConversion"/>
  </si>
  <si>
    <t>Water Seal</t>
    <phoneticPr fontId="9" type="noConversion"/>
  </si>
  <si>
    <t>Stroke</t>
    <phoneticPr fontId="9" type="noConversion"/>
  </si>
  <si>
    <t>Electrical</t>
    <phoneticPr fontId="9" type="noConversion"/>
  </si>
  <si>
    <t>77</t>
    <phoneticPr fontId="4" type="noConversion"/>
  </si>
  <si>
    <t>Rated Cv</t>
    <phoneticPr fontId="9" type="noConversion"/>
  </si>
  <si>
    <t>Air Supply</t>
    <phoneticPr fontId="9" type="noConversion"/>
  </si>
  <si>
    <t>Conduit Connection</t>
    <phoneticPr fontId="9" type="noConversion"/>
  </si>
  <si>
    <t>MISCELLANEOUS</t>
    <phoneticPr fontId="9" type="noConversion"/>
  </si>
  <si>
    <t>Required Seat Tightness</t>
    <phoneticPr fontId="9" type="noConversion"/>
  </si>
  <si>
    <t>Silencer</t>
    <phoneticPr fontId="9" type="noConversion"/>
  </si>
  <si>
    <t>Max.Allow Sound Level (dBA)</t>
    <phoneticPr fontId="9" type="noConversion"/>
  </si>
  <si>
    <t>Speed-Controller</t>
    <phoneticPr fontId="9" type="noConversion"/>
  </si>
  <si>
    <t>73</t>
    <phoneticPr fontId="4" type="noConversion"/>
  </si>
  <si>
    <t>Trim Form</t>
    <phoneticPr fontId="9" type="noConversion"/>
  </si>
  <si>
    <t>Exhaust Valve</t>
    <phoneticPr fontId="9" type="noConversion"/>
  </si>
  <si>
    <t>123</t>
    <phoneticPr fontId="4" type="noConversion"/>
  </si>
  <si>
    <t>Bonnet Type</t>
    <phoneticPr fontId="9" type="noConversion"/>
  </si>
  <si>
    <t>Volume Booster</t>
    <phoneticPr fontId="9" type="noConversion"/>
  </si>
  <si>
    <t>Check Valve</t>
    <phoneticPr fontId="9" type="noConversion"/>
  </si>
  <si>
    <t>Packing</t>
    <phoneticPr fontId="9" type="noConversion"/>
  </si>
  <si>
    <t>Mechanical Valve</t>
    <phoneticPr fontId="9" type="noConversion"/>
  </si>
  <si>
    <t>Stem</t>
    <phoneticPr fontId="9" type="noConversion"/>
  </si>
  <si>
    <t xml:space="preserve">   ㄴ Setting Pressure</t>
    <phoneticPr fontId="4" type="noConversion"/>
  </si>
  <si>
    <t>Air-Operated Valve</t>
    <phoneticPr fontId="9" type="noConversion"/>
  </si>
  <si>
    <t>ACCESSORY</t>
    <phoneticPr fontId="9" type="noConversion"/>
  </si>
  <si>
    <t>Trim</t>
    <phoneticPr fontId="9" type="noConversion"/>
  </si>
  <si>
    <t xml:space="preserve">   ㄴ MODEL</t>
    <phoneticPr fontId="4" type="noConversion"/>
  </si>
  <si>
    <t>Model No.</t>
    <phoneticPr fontId="9" type="noConversion"/>
  </si>
  <si>
    <t>Body</t>
    <phoneticPr fontId="9" type="noConversion"/>
  </si>
  <si>
    <t>Material</t>
  </si>
  <si>
    <t>Snap-acting relay</t>
  </si>
  <si>
    <t>Setting Pressure (bar G)</t>
    <phoneticPr fontId="9" type="noConversion"/>
  </si>
  <si>
    <t>SNAP-ACTING
RELAY</t>
    <phoneticPr fontId="9" type="noConversion"/>
  </si>
  <si>
    <t>Flange Facing</t>
    <phoneticPr fontId="9" type="noConversion"/>
  </si>
  <si>
    <t>Rating &amp; End Connection</t>
    <phoneticPr fontId="4" type="noConversion"/>
  </si>
  <si>
    <t>LOCK-UP VALVE</t>
    <phoneticPr fontId="9" type="noConversion"/>
  </si>
  <si>
    <t>Guide</t>
    <phoneticPr fontId="9" type="noConversion"/>
  </si>
  <si>
    <t>Trim Seal Ring</t>
    <phoneticPr fontId="9" type="noConversion"/>
  </si>
  <si>
    <t>Lockup valve</t>
  </si>
  <si>
    <t>MFG.</t>
    <phoneticPr fontId="9" type="noConversion"/>
  </si>
  <si>
    <t>Trim Type</t>
    <phoneticPr fontId="9" type="noConversion"/>
  </si>
  <si>
    <t>Enclosure</t>
    <phoneticPr fontId="9" type="noConversion"/>
  </si>
  <si>
    <t>Trim Design</t>
    <phoneticPr fontId="9" type="noConversion"/>
  </si>
  <si>
    <t>Air Operated Valve</t>
  </si>
  <si>
    <t>Type</t>
    <phoneticPr fontId="9" type="noConversion"/>
  </si>
  <si>
    <t>Port Size</t>
    <phoneticPr fontId="9" type="noConversion"/>
  </si>
  <si>
    <t>Body Size</t>
    <phoneticPr fontId="9" type="noConversion"/>
  </si>
  <si>
    <t>Quantity</t>
    <phoneticPr fontId="9" type="noConversion"/>
  </si>
  <si>
    <t>LIMIT SWITCH</t>
  </si>
  <si>
    <t>Body Type</t>
    <phoneticPr fontId="9" type="noConversion"/>
  </si>
  <si>
    <t>BODY  &amp;  TRIM</t>
    <phoneticPr fontId="9" type="noConversion"/>
  </si>
  <si>
    <t>Volume booster</t>
  </si>
  <si>
    <t>Sch. No.</t>
  </si>
  <si>
    <t>Outlet Pipe Size (A)</t>
    <phoneticPr fontId="9" type="noConversion"/>
  </si>
  <si>
    <t xml:space="preserve">   ㄴ Supply Setting Pressure</t>
    <phoneticPr fontId="4" type="noConversion"/>
  </si>
  <si>
    <t>Inlet Pipe Size (A)</t>
    <phoneticPr fontId="9" type="noConversion"/>
  </si>
  <si>
    <t>Temp.</t>
    <phoneticPr fontId="9" type="noConversion"/>
  </si>
  <si>
    <t xml:space="preserve">   ㄴ MFG</t>
    <phoneticPr fontId="4" type="noConversion"/>
  </si>
  <si>
    <t>Power</t>
    <phoneticPr fontId="9" type="noConversion"/>
  </si>
  <si>
    <t>SOLENOID
VALVE</t>
    <phoneticPr fontId="9" type="noConversion"/>
  </si>
  <si>
    <t xml:space="preserve">Pressure </t>
    <phoneticPr fontId="9" type="noConversion"/>
  </si>
  <si>
    <t xml:space="preserve">Design </t>
    <phoneticPr fontId="9" type="noConversion"/>
  </si>
  <si>
    <t>Air-set</t>
    <phoneticPr fontId="4" type="noConversion"/>
  </si>
  <si>
    <r>
      <t xml:space="preserve">Shut Off </t>
    </r>
    <r>
      <rPr>
        <b/>
        <sz val="9"/>
        <color rgb="FF000000"/>
        <rFont val="Segoe UI Symbol"/>
        <family val="2"/>
      </rPr>
      <t>△</t>
    </r>
    <r>
      <rPr>
        <b/>
        <sz val="9"/>
        <color indexed="8"/>
        <rFont val="Arial Narrow"/>
        <family val="2"/>
      </rPr>
      <t xml:space="preserve">P </t>
    </r>
    <phoneticPr fontId="9" type="noConversion"/>
  </si>
  <si>
    <t>LINE</t>
    <phoneticPr fontId="9" type="noConversion"/>
  </si>
  <si>
    <t xml:space="preserve">   ㄴ Enclosure</t>
    <phoneticPr fontId="4" type="noConversion"/>
  </si>
  <si>
    <t>Supply Setting Pressure (bar G)</t>
    <phoneticPr fontId="9" type="noConversion"/>
  </si>
  <si>
    <t>AIR SET</t>
    <phoneticPr fontId="9" type="noConversion"/>
  </si>
  <si>
    <t xml:space="preserve">   ㄴ Type</t>
    <phoneticPr fontId="4" type="noConversion"/>
  </si>
  <si>
    <t xml:space="preserve">   ㄴ Quantity</t>
    <phoneticPr fontId="4" type="noConversion"/>
  </si>
  <si>
    <t>Output (mA DC)</t>
    <phoneticPr fontId="9" type="noConversion"/>
  </si>
  <si>
    <t>POSITION
TRANSMITTER</t>
    <phoneticPr fontId="9" type="noConversion"/>
  </si>
  <si>
    <t>%</t>
    <phoneticPr fontId="4" type="noConversion"/>
  </si>
  <si>
    <t xml:space="preserve">Opening Lift </t>
    <phoneticPr fontId="9" type="noConversion"/>
  </si>
  <si>
    <t>Calculated Cv</t>
    <phoneticPr fontId="9" type="noConversion"/>
  </si>
  <si>
    <t>dB(A)</t>
    <phoneticPr fontId="4" type="noConversion"/>
  </si>
  <si>
    <t xml:space="preserve">Predicted SPL </t>
    <phoneticPr fontId="9" type="noConversion"/>
  </si>
  <si>
    <t>Limit Switch</t>
    <phoneticPr fontId="4" type="noConversion"/>
  </si>
  <si>
    <t>cPs</t>
    <phoneticPr fontId="9" type="noConversion"/>
  </si>
  <si>
    <t xml:space="preserve">Viscosity </t>
    <phoneticPr fontId="9" type="noConversion"/>
  </si>
  <si>
    <t>Input Signal (mA DC)</t>
    <phoneticPr fontId="9" type="noConversion"/>
  </si>
  <si>
    <t>I / P  
POSITIONER</t>
    <phoneticPr fontId="9" type="noConversion"/>
  </si>
  <si>
    <t xml:space="preserve">Molecular Weight </t>
    <phoneticPr fontId="9" type="noConversion"/>
  </si>
  <si>
    <t>Density</t>
    <phoneticPr fontId="9" type="noConversion"/>
  </si>
  <si>
    <t xml:space="preserve">   ㄴ Power</t>
    <phoneticPr fontId="4" type="noConversion"/>
  </si>
  <si>
    <t>G</t>
    <phoneticPr fontId="9" type="noConversion"/>
  </si>
  <si>
    <t>Specific Gravity</t>
    <phoneticPr fontId="9" type="noConversion"/>
  </si>
  <si>
    <t xml:space="preserve">  </t>
    <phoneticPr fontId="10" type="noConversion"/>
  </si>
  <si>
    <t xml:space="preserve">   ㄴ H.W Painting Type</t>
    <phoneticPr fontId="4" type="noConversion"/>
  </si>
  <si>
    <t>Type / Location</t>
    <phoneticPr fontId="9" type="noConversion"/>
  </si>
  <si>
    <t>HAND
WHEEL</t>
    <phoneticPr fontId="9" type="noConversion"/>
  </si>
  <si>
    <t xml:space="preserve">Inlet Temperature  </t>
    <phoneticPr fontId="9" type="noConversion"/>
  </si>
  <si>
    <t xml:space="preserve">   ㄴ H.W Painting Color</t>
    <phoneticPr fontId="4" type="noConversion"/>
  </si>
  <si>
    <t>Differential Pressure</t>
    <phoneticPr fontId="9" type="noConversion"/>
  </si>
  <si>
    <t>Solenoid Valve</t>
    <phoneticPr fontId="4" type="noConversion"/>
  </si>
  <si>
    <t xml:space="preserve">   ㄴ Type / Location</t>
    <phoneticPr fontId="4" type="noConversion"/>
  </si>
  <si>
    <t xml:space="preserve">Outlet Pressure </t>
    <phoneticPr fontId="9" type="noConversion"/>
  </si>
  <si>
    <t xml:space="preserve">   ㄴ PTM Type</t>
    <phoneticPr fontId="4" type="noConversion"/>
  </si>
  <si>
    <t>2. Handel</t>
    <phoneticPr fontId="4" type="noConversion"/>
  </si>
  <si>
    <t>Fail Position (Signal / Air)</t>
    <phoneticPr fontId="9" type="noConversion"/>
  </si>
  <si>
    <t xml:space="preserve">Inlet Pressure </t>
    <phoneticPr fontId="9" type="noConversion"/>
  </si>
  <si>
    <t xml:space="preserve">   ㄴ PTM Output</t>
    <phoneticPr fontId="4" type="noConversion"/>
  </si>
  <si>
    <t xml:space="preserve">   ㄴ Painting Type</t>
    <phoneticPr fontId="4" type="noConversion"/>
  </si>
  <si>
    <t>Open At (bar G)</t>
    <phoneticPr fontId="9" type="noConversion"/>
  </si>
  <si>
    <t>Close At (bar G)</t>
    <phoneticPr fontId="9" type="noConversion"/>
  </si>
  <si>
    <t>46 / 50</t>
    <phoneticPr fontId="4" type="noConversion"/>
  </si>
  <si>
    <t>45 / 49</t>
    <phoneticPr fontId="4" type="noConversion"/>
  </si>
  <si>
    <t>44 / 48</t>
    <phoneticPr fontId="4" type="noConversion"/>
  </si>
  <si>
    <t>47 / 51</t>
    <phoneticPr fontId="4" type="noConversion"/>
  </si>
  <si>
    <t>Flow Rate</t>
    <phoneticPr fontId="9" type="noConversion"/>
  </si>
  <si>
    <t xml:space="preserve">   ㄴ Input Signal</t>
    <phoneticPr fontId="4" type="noConversion"/>
  </si>
  <si>
    <t xml:space="preserve">   ㄴ Painting Color</t>
    <phoneticPr fontId="4" type="noConversion"/>
  </si>
  <si>
    <t>Min. Q</t>
  </si>
  <si>
    <t>Nor. Q</t>
    <phoneticPr fontId="9" type="noConversion"/>
  </si>
  <si>
    <t>Max. Q</t>
    <phoneticPr fontId="9" type="noConversion"/>
  </si>
  <si>
    <t xml:space="preserve">   ㄴ Close/Open At</t>
    <phoneticPr fontId="4" type="noConversion"/>
  </si>
  <si>
    <t>Actuator Type</t>
    <phoneticPr fontId="9" type="noConversion"/>
  </si>
  <si>
    <t>ACTUATOR</t>
    <phoneticPr fontId="9" type="noConversion"/>
  </si>
  <si>
    <t>Medium</t>
    <phoneticPr fontId="9" type="noConversion"/>
  </si>
  <si>
    <t>SERVICE CONDITIONS</t>
    <phoneticPr fontId="9" type="noConversion"/>
  </si>
  <si>
    <t xml:space="preserve"> Q'ty (Set)</t>
    <phoneticPr fontId="9" type="noConversion"/>
  </si>
  <si>
    <t xml:space="preserve"> Model No.</t>
    <phoneticPr fontId="9" type="noConversion"/>
  </si>
  <si>
    <t xml:space="preserve"> MFG. No.</t>
    <phoneticPr fontId="9" type="noConversion"/>
  </si>
  <si>
    <t xml:space="preserve"> Tag. No.</t>
    <phoneticPr fontId="9" type="noConversion"/>
  </si>
  <si>
    <t>POSITIONER</t>
    <phoneticPr fontId="4" type="noConversion"/>
  </si>
  <si>
    <t>1. Model No</t>
    <phoneticPr fontId="4" type="noConversion"/>
  </si>
  <si>
    <t xml:space="preserve"> Service</t>
    <phoneticPr fontId="9" type="noConversion"/>
  </si>
  <si>
    <t xml:space="preserve"> Project</t>
    <phoneticPr fontId="9" type="noConversion"/>
  </si>
  <si>
    <t>ACCESSORY</t>
    <phoneticPr fontId="4" type="noConversion"/>
  </si>
  <si>
    <t>ACTUATOR</t>
    <phoneticPr fontId="4" type="noConversion"/>
  </si>
  <si>
    <t xml:space="preserve"> Item</t>
    <phoneticPr fontId="9" type="noConversion"/>
  </si>
  <si>
    <t>엑셀 매크로 (자동입력)</t>
    <phoneticPr fontId="4" type="noConversion"/>
  </si>
  <si>
    <t>1 OF 1</t>
    <phoneticPr fontId="4" type="noConversion"/>
  </si>
  <si>
    <t xml:space="preserve">Sheet No. </t>
    <phoneticPr fontId="9" type="noConversion"/>
  </si>
  <si>
    <t>VALVE DATA SHEET</t>
    <phoneticPr fontId="9" type="noConversion"/>
  </si>
  <si>
    <t>■ ACTUATOR (1/2)</t>
    <phoneticPr fontId="28" type="noConversion"/>
  </si>
  <si>
    <t>■ ACTUATOR (2/2)</t>
    <phoneticPr fontId="28" type="noConversion"/>
  </si>
  <si>
    <t>■ HANDLE</t>
    <phoneticPr fontId="28" type="noConversion"/>
  </si>
  <si>
    <t>시리즈</t>
    <phoneticPr fontId="28" type="noConversion"/>
  </si>
  <si>
    <t>입력값</t>
    <phoneticPr fontId="28" type="noConversion"/>
  </si>
  <si>
    <t>출력값</t>
    <phoneticPr fontId="28" type="noConversion"/>
  </si>
  <si>
    <t>Act Size</t>
    <phoneticPr fontId="28" type="noConversion"/>
  </si>
  <si>
    <t>Model No.</t>
    <phoneticPr fontId="28" type="noConversion"/>
  </si>
  <si>
    <t>Painting Color</t>
    <phoneticPr fontId="28" type="noConversion"/>
  </si>
  <si>
    <t>Painting Type</t>
    <phoneticPr fontId="28" type="noConversion"/>
  </si>
  <si>
    <t>Actuator Type (2)</t>
    <phoneticPr fontId="28" type="noConversion"/>
  </si>
  <si>
    <t>Act Series</t>
    <phoneticPr fontId="28" type="noConversion"/>
  </si>
  <si>
    <t>Action Type</t>
  </si>
  <si>
    <t>Fail Position</t>
  </si>
  <si>
    <t>CLOSE AT</t>
    <phoneticPr fontId="28" type="noConversion"/>
  </si>
  <si>
    <t>OPEN AT</t>
    <phoneticPr fontId="28" type="noConversion"/>
  </si>
  <si>
    <t>Actuator Type (1)</t>
    <phoneticPr fontId="28" type="noConversion"/>
  </si>
  <si>
    <t>H.W</t>
  </si>
  <si>
    <t>Type / Location</t>
  </si>
  <si>
    <t>Painting Color (RAL No.)</t>
  </si>
  <si>
    <t>Painting Type</t>
  </si>
  <si>
    <t>A 시리즈
[PROVAL]</t>
    <phoneticPr fontId="28" type="noConversion"/>
  </si>
  <si>
    <t>A-220M</t>
    <phoneticPr fontId="28" type="noConversion"/>
  </si>
  <si>
    <t>Diaphragm</t>
  </si>
  <si>
    <t>A시리즈</t>
    <phoneticPr fontId="28" type="noConversion"/>
  </si>
  <si>
    <t>RA (Close)</t>
  </si>
  <si>
    <t>Close</t>
  </si>
  <si>
    <t>Single Acting</t>
  </si>
  <si>
    <t>-</t>
    <phoneticPr fontId="28" type="noConversion"/>
  </si>
  <si>
    <t>A-270M</t>
    <phoneticPr fontId="28" type="noConversion"/>
  </si>
  <si>
    <t>RAL 5019</t>
  </si>
  <si>
    <t>Polyurethane</t>
  </si>
  <si>
    <t>A시리즈</t>
  </si>
  <si>
    <t>DA (Open)</t>
    <phoneticPr fontId="28" type="noConversion"/>
  </si>
  <si>
    <t>Open</t>
  </si>
  <si>
    <t>Screwed</t>
  </si>
  <si>
    <t>RAL 9011</t>
  </si>
  <si>
    <t>A-360M</t>
    <phoneticPr fontId="28" type="noConversion"/>
  </si>
  <si>
    <t>Double</t>
    <phoneticPr fontId="28" type="noConversion"/>
  </si>
  <si>
    <t>Double Acting</t>
  </si>
  <si>
    <t>Screwed / Top</t>
    <phoneticPr fontId="28" type="noConversion"/>
  </si>
  <si>
    <t>Screwed / Top</t>
  </si>
  <si>
    <t>A-430M</t>
  </si>
  <si>
    <t>A-430M</t>
    <phoneticPr fontId="28" type="noConversion"/>
  </si>
  <si>
    <t>SPECIAL</t>
    <phoneticPr fontId="28" type="noConversion"/>
  </si>
  <si>
    <t>Screwed / Side</t>
  </si>
  <si>
    <t>Screwed / Side</t>
    <phoneticPr fontId="28" type="noConversion"/>
  </si>
  <si>
    <t>RAL 9011</t>
    <phoneticPr fontId="28" type="noConversion"/>
  </si>
  <si>
    <t>Polyurethane</t>
    <phoneticPr fontId="28" type="noConversion"/>
  </si>
  <si>
    <t>A-520M</t>
  </si>
  <si>
    <t>A-520M</t>
    <phoneticPr fontId="28" type="noConversion"/>
  </si>
  <si>
    <t>B시리즈</t>
  </si>
  <si>
    <t>Close</t>
    <phoneticPr fontId="28" type="noConversion"/>
  </si>
  <si>
    <t>Worm-Gear-Top</t>
  </si>
  <si>
    <t>Worm-Gear / Top</t>
    <phoneticPr fontId="28" type="noConversion"/>
  </si>
  <si>
    <t>B1</t>
    <phoneticPr fontId="28" type="noConversion"/>
  </si>
  <si>
    <t>B1S</t>
    <phoneticPr fontId="28" type="noConversion"/>
  </si>
  <si>
    <t>PX8576(S) -BLACK(AB-1)</t>
    <phoneticPr fontId="28" type="noConversion"/>
  </si>
  <si>
    <t>Cylinder</t>
  </si>
  <si>
    <t>DA (Open)</t>
  </si>
  <si>
    <t>Open</t>
    <phoneticPr fontId="28" type="noConversion"/>
  </si>
  <si>
    <t>Worm-Gear-Side</t>
  </si>
  <si>
    <t>Worm-Gear / Side</t>
  </si>
  <si>
    <t>B2</t>
  </si>
  <si>
    <t>B2S</t>
    <phoneticPr fontId="28" type="noConversion"/>
  </si>
  <si>
    <t>Last</t>
  </si>
  <si>
    <t>Declutchable</t>
  </si>
  <si>
    <t>Declutchable</t>
    <phoneticPr fontId="28" type="noConversion"/>
  </si>
  <si>
    <t>B3</t>
  </si>
  <si>
    <t>B3S</t>
    <phoneticPr fontId="28" type="noConversion"/>
  </si>
  <si>
    <t>RAL 5019</t>
    <phoneticPr fontId="28" type="noConversion"/>
  </si>
  <si>
    <t>SPECIAL</t>
  </si>
  <si>
    <t>B4</t>
  </si>
  <si>
    <t>B4S</t>
  </si>
  <si>
    <t>C시리즈</t>
  </si>
  <si>
    <t>B5</t>
  </si>
  <si>
    <t>B5S</t>
    <phoneticPr fontId="28" type="noConversion"/>
  </si>
  <si>
    <t>B6</t>
  </si>
  <si>
    <t>B6S</t>
  </si>
  <si>
    <t>C-160</t>
  </si>
  <si>
    <t>C-200</t>
  </si>
  <si>
    <t>C-200</t>
    <phoneticPr fontId="28" type="noConversion"/>
  </si>
  <si>
    <t>DB시리즈</t>
  </si>
  <si>
    <t>C-250</t>
  </si>
  <si>
    <t>C-300</t>
    <phoneticPr fontId="28" type="noConversion"/>
  </si>
  <si>
    <t>C-300S</t>
    <phoneticPr fontId="28" type="noConversion"/>
  </si>
  <si>
    <t>C-350</t>
  </si>
  <si>
    <t>C-350S</t>
  </si>
  <si>
    <t>C-400</t>
  </si>
  <si>
    <t>C-400S</t>
  </si>
  <si>
    <t>CB시리즈</t>
  </si>
  <si>
    <t>C-450</t>
  </si>
  <si>
    <t>C-450S</t>
  </si>
  <si>
    <t>C-500</t>
  </si>
  <si>
    <t>C-500S</t>
  </si>
  <si>
    <t>DB-270</t>
  </si>
  <si>
    <t>DB-360</t>
  </si>
  <si>
    <t>Float</t>
  </si>
  <si>
    <t>Low Level</t>
  </si>
  <si>
    <t>High Level</t>
  </si>
  <si>
    <t>Levered</t>
  </si>
  <si>
    <t>DB-430</t>
  </si>
  <si>
    <t>DB-520</t>
  </si>
  <si>
    <t>CB-270</t>
  </si>
  <si>
    <t>CB-360</t>
  </si>
  <si>
    <t>(HKC)HP시리즈</t>
  </si>
  <si>
    <t>CB-430</t>
  </si>
  <si>
    <t>CB-520</t>
  </si>
  <si>
    <t>Close / Last</t>
  </si>
  <si>
    <t>25A용</t>
    <phoneticPr fontId="28" type="noConversion"/>
  </si>
  <si>
    <t>YAF</t>
  </si>
  <si>
    <t>40-50A용</t>
  </si>
  <si>
    <t>(성원)PM시리즈</t>
  </si>
  <si>
    <t>HP-88 (B1)</t>
  </si>
  <si>
    <t>B1S</t>
  </si>
  <si>
    <t>PX8576(S) -BLACK(AB-1)</t>
  </si>
  <si>
    <t>HP-100 (B2)</t>
  </si>
  <si>
    <t>B2SR</t>
  </si>
  <si>
    <t>HP-125 (B4)</t>
  </si>
  <si>
    <t>B4SR</t>
  </si>
  <si>
    <t>HP-66 (B0)</t>
  </si>
  <si>
    <t>B0SR</t>
    <phoneticPr fontId="28" type="noConversion"/>
  </si>
  <si>
    <t>R시리즈</t>
  </si>
  <si>
    <t>HP-115(B3)</t>
  </si>
  <si>
    <t>B3SR</t>
    <phoneticPr fontId="28" type="noConversion"/>
  </si>
  <si>
    <t>HP-145 (B6)</t>
  </si>
  <si>
    <t>B6SR</t>
  </si>
  <si>
    <t>HP-160</t>
  </si>
  <si>
    <t>HP-200</t>
  </si>
  <si>
    <t>C V/T시리즈</t>
  </si>
  <si>
    <t>PM-S065 (B1)</t>
  </si>
  <si>
    <t>B1SR</t>
  </si>
  <si>
    <t>PM-S080 (B2)</t>
  </si>
  <si>
    <t>PM-S100 (B3)</t>
  </si>
  <si>
    <t>B3SR</t>
  </si>
  <si>
    <t>PM-S125 (B4)</t>
  </si>
  <si>
    <t>R V/T시리즈</t>
  </si>
  <si>
    <t>PM-S140 (B5)</t>
  </si>
  <si>
    <t>B5SR</t>
    <phoneticPr fontId="28" type="noConversion"/>
  </si>
  <si>
    <t>PM-S160 (B6)</t>
  </si>
  <si>
    <t>R6</t>
  </si>
  <si>
    <t>R6S</t>
    <phoneticPr fontId="28" type="noConversion"/>
  </si>
  <si>
    <t>R7</t>
  </si>
  <si>
    <t>Scoth-York / R7SD</t>
  </si>
  <si>
    <t>R8</t>
  </si>
  <si>
    <t>R8SR</t>
  </si>
  <si>
    <t>R9</t>
  </si>
  <si>
    <t>R9SR</t>
  </si>
  <si>
    <t>R10</t>
  </si>
  <si>
    <t>R11</t>
  </si>
  <si>
    <t>R12</t>
  </si>
  <si>
    <t>R12SD</t>
  </si>
  <si>
    <t>R13</t>
  </si>
  <si>
    <t>R14</t>
  </si>
  <si>
    <t>R15</t>
  </si>
  <si>
    <t>C-160 + V/T</t>
  </si>
  <si>
    <t>C-200 + V/T</t>
  </si>
  <si>
    <t>C-250 + V/T</t>
  </si>
  <si>
    <t>C-300 + V/T</t>
  </si>
  <si>
    <t>C-350 + V/T</t>
  </si>
  <si>
    <t>C-400 + V/T</t>
  </si>
  <si>
    <t>C-450 + V/T</t>
  </si>
  <si>
    <t>C-500 + V/T</t>
  </si>
  <si>
    <t>R6 + V/T</t>
  </si>
  <si>
    <t>R7 + V/T</t>
  </si>
  <si>
    <t>R7S + V/T</t>
  </si>
  <si>
    <t>R8 + V/T</t>
  </si>
  <si>
    <t>R9 + V/T</t>
  </si>
  <si>
    <t>R10 + V/T</t>
  </si>
  <si>
    <t>R11 + V/T</t>
  </si>
  <si>
    <t>R12 + V/T</t>
  </si>
  <si>
    <t>R13 + V/T</t>
  </si>
  <si>
    <t>R14 + V/T</t>
  </si>
  <si>
    <t>R15 + V/T</t>
  </si>
  <si>
    <t>■ POSITIONER</t>
    <phoneticPr fontId="28" type="noConversion"/>
  </si>
  <si>
    <t>■ AIR-SET</t>
    <phoneticPr fontId="28" type="noConversion"/>
  </si>
  <si>
    <t>■ SOLENOID VALVE</t>
    <phoneticPr fontId="28" type="noConversion"/>
  </si>
  <si>
    <t>■ LIMIT SWITCH</t>
    <phoneticPr fontId="28" type="noConversion"/>
  </si>
  <si>
    <t>■ LOCKUP VALVE</t>
    <phoneticPr fontId="28" type="noConversion"/>
  </si>
  <si>
    <t>■ SNAP-ACTING RELAY</t>
    <phoneticPr fontId="28" type="noConversion"/>
  </si>
  <si>
    <t>■ AIR OPERATED VALVE</t>
    <phoneticPr fontId="28" type="noConversion"/>
  </si>
  <si>
    <t>■ VOLUME BOOSTER</t>
    <phoneticPr fontId="28" type="noConversion"/>
  </si>
  <si>
    <t>출력값 (POSITIONER)</t>
    <phoneticPr fontId="28" type="noConversion"/>
  </si>
  <si>
    <t>출력값 (TRANSMITTER)</t>
    <phoneticPr fontId="28" type="noConversion"/>
  </si>
  <si>
    <t>Positioner</t>
  </si>
  <si>
    <t>Input Signal (mA DC)</t>
    <phoneticPr fontId="28" type="noConversion"/>
  </si>
  <si>
    <t>Type</t>
    <phoneticPr fontId="28" type="noConversion"/>
  </si>
  <si>
    <t>Enclosure</t>
    <phoneticPr fontId="28" type="noConversion"/>
  </si>
  <si>
    <t>MFG.</t>
    <phoneticPr fontId="28" type="noConversion"/>
  </si>
  <si>
    <t>Output (mA DC)</t>
    <phoneticPr fontId="28" type="noConversion"/>
  </si>
  <si>
    <t>Supply Setting Pressure (bar G)</t>
    <phoneticPr fontId="28" type="noConversion"/>
  </si>
  <si>
    <t>Power</t>
    <phoneticPr fontId="28" type="noConversion"/>
  </si>
  <si>
    <t>Limit Switch</t>
  </si>
  <si>
    <t>Quantity</t>
    <phoneticPr fontId="28" type="noConversion"/>
  </si>
  <si>
    <t>Lockup valve</t>
    <phoneticPr fontId="4" type="noConversion"/>
  </si>
  <si>
    <t>Setting Pressure (bar G)</t>
    <phoneticPr fontId="28" type="noConversion"/>
  </si>
  <si>
    <t>Model No.</t>
  </si>
  <si>
    <t>SNAP-ACTING RELAY</t>
    <phoneticPr fontId="28" type="noConversion"/>
  </si>
  <si>
    <t>Air Operated Valve</t>
    <phoneticPr fontId="28" type="noConversion"/>
  </si>
  <si>
    <t>AVP300-HSD3D-XXXX-X</t>
  </si>
  <si>
    <t>4 ~ 20</t>
    <phoneticPr fontId="28" type="noConversion"/>
  </si>
  <si>
    <t>Smart</t>
    <phoneticPr fontId="28" type="noConversion"/>
  </si>
  <si>
    <t>ExdIICT6</t>
    <phoneticPr fontId="28" type="noConversion"/>
  </si>
  <si>
    <t>AVP-300</t>
  </si>
  <si>
    <t>Azbil</t>
  </si>
  <si>
    <t>AR-1501NS0(TS300)</t>
    <phoneticPr fontId="4" type="noConversion"/>
  </si>
  <si>
    <t>AR-1501</t>
    <phoneticPr fontId="4" type="noConversion"/>
  </si>
  <si>
    <t>Proval</t>
    <phoneticPr fontId="28" type="noConversion"/>
  </si>
  <si>
    <t>4F310-08-TP-X-DC24V</t>
    <phoneticPr fontId="4" type="noConversion"/>
  </si>
  <si>
    <t>DC24V</t>
    <phoneticPr fontId="4" type="noConversion"/>
  </si>
  <si>
    <t>5-Way</t>
    <phoneticPr fontId="4" type="noConversion"/>
  </si>
  <si>
    <t>IP-66</t>
  </si>
  <si>
    <t>4F310E-08</t>
    <phoneticPr fontId="4" type="noConversion"/>
  </si>
  <si>
    <t>CKD</t>
  </si>
  <si>
    <t>APL-210N</t>
    <phoneticPr fontId="4" type="noConversion"/>
  </si>
  <si>
    <t>Close/Open</t>
    <phoneticPr fontId="4" type="noConversion"/>
  </si>
  <si>
    <t>SPDT</t>
    <phoneticPr fontId="4" type="noConversion"/>
  </si>
  <si>
    <t>IP-66</t>
    <phoneticPr fontId="4" type="noConversion"/>
  </si>
  <si>
    <t>HKC</t>
  </si>
  <si>
    <t>LV-2000DNS(TS200)</t>
    <phoneticPr fontId="4" type="noConversion"/>
  </si>
  <si>
    <t>LV-2000D</t>
    <phoneticPr fontId="4" type="noConversion"/>
  </si>
  <si>
    <t>SAR25D(TS250)</t>
    <phoneticPr fontId="4" type="noConversion"/>
  </si>
  <si>
    <t>SAR25D</t>
  </si>
  <si>
    <t>SFP4313</t>
    <phoneticPr fontId="4" type="noConversion"/>
  </si>
  <si>
    <t>VB-1000NS(TS100)</t>
    <phoneticPr fontId="28" type="noConversion"/>
  </si>
  <si>
    <t>VB-1000</t>
  </si>
  <si>
    <t>AVP302-HSD3D-XXXX-X</t>
    <phoneticPr fontId="4" type="noConversion"/>
  </si>
  <si>
    <t>4 ~ 20</t>
  </si>
  <si>
    <t>Smart-Hart</t>
    <phoneticPr fontId="28" type="noConversion"/>
  </si>
  <si>
    <t>AVP-302</t>
    <phoneticPr fontId="28" type="noConversion"/>
  </si>
  <si>
    <t>AR-1501PS0(TS300)</t>
    <phoneticPr fontId="4" type="noConversion"/>
  </si>
  <si>
    <t>Proval</t>
  </si>
  <si>
    <t>4F310-10-B-DC24V</t>
  </si>
  <si>
    <t>3-Way</t>
    <phoneticPr fontId="4" type="noConversion"/>
  </si>
  <si>
    <t>4F310-10-B</t>
    <phoneticPr fontId="4" type="noConversion"/>
  </si>
  <si>
    <t>APL-312N</t>
  </si>
  <si>
    <t>Close/Open</t>
  </si>
  <si>
    <t>4SPDT</t>
  </si>
  <si>
    <t>LV-2000SNS(TS200)</t>
    <phoneticPr fontId="4" type="noConversion"/>
  </si>
  <si>
    <t>LV-2000S</t>
    <phoneticPr fontId="4" type="noConversion"/>
  </si>
  <si>
    <t>SFP6313</t>
    <phoneticPr fontId="4" type="noConversion"/>
  </si>
  <si>
    <t>VB-1000PS(TS100)</t>
    <phoneticPr fontId="28" type="noConversion"/>
  </si>
  <si>
    <t>EP-6000LN12S0(TS600)</t>
    <phoneticPr fontId="4" type="noConversion"/>
  </si>
  <si>
    <t>Conventional</t>
  </si>
  <si>
    <t>EP-6000</t>
  </si>
  <si>
    <t>AR-2501NS0(TS310)</t>
    <phoneticPr fontId="4" type="noConversion"/>
  </si>
  <si>
    <t>AR-2501</t>
    <phoneticPr fontId="4" type="noConversion"/>
  </si>
  <si>
    <t>4F310E-08-TP-X-AC110V</t>
  </si>
  <si>
    <t>AC110V</t>
    <phoneticPr fontId="4" type="noConversion"/>
  </si>
  <si>
    <t>ExdIIBT4</t>
    <phoneticPr fontId="4" type="noConversion"/>
  </si>
  <si>
    <t>CKD</t>
    <phoneticPr fontId="28" type="noConversion"/>
  </si>
  <si>
    <t>APL-314N</t>
  </si>
  <si>
    <t>DPDT</t>
    <phoneticPr fontId="4" type="noConversion"/>
  </si>
  <si>
    <t>APL-314N</t>
    <phoneticPr fontId="4" type="noConversion"/>
  </si>
  <si>
    <t>LV-2000SPS(TS200)</t>
    <phoneticPr fontId="4" type="noConversion"/>
  </si>
  <si>
    <t>SV-210M</t>
    <phoneticPr fontId="4" type="noConversion"/>
  </si>
  <si>
    <t>SV-210M</t>
  </si>
  <si>
    <t>YT-320P-1</t>
  </si>
  <si>
    <t>EP-6100RN11S0</t>
    <phoneticPr fontId="4" type="noConversion"/>
  </si>
  <si>
    <t>NEMA 4</t>
  </si>
  <si>
    <t>EP-6100</t>
  </si>
  <si>
    <t>AW30-03-A</t>
    <phoneticPr fontId="4" type="noConversion"/>
  </si>
  <si>
    <t>AW30-03-A</t>
  </si>
  <si>
    <t>4F310E-08-TP-X-DC24V</t>
  </si>
  <si>
    <t>4-Way</t>
    <phoneticPr fontId="4" type="noConversion"/>
  </si>
  <si>
    <t>4F310-08</t>
  </si>
  <si>
    <t>APL-510N</t>
    <phoneticPr fontId="4" type="noConversion"/>
  </si>
  <si>
    <t>APL-510N</t>
  </si>
  <si>
    <t>SV-310M</t>
  </si>
  <si>
    <t>IP8100-031-CH-X114</t>
    <phoneticPr fontId="4" type="noConversion"/>
  </si>
  <si>
    <t>Conventional</t>
    <phoneticPr fontId="28" type="noConversion"/>
  </si>
  <si>
    <t>ExdIIBT5</t>
    <phoneticPr fontId="28" type="noConversion"/>
  </si>
  <si>
    <t>IP-8100</t>
    <phoneticPr fontId="28" type="noConversion"/>
  </si>
  <si>
    <t>SM</t>
  </si>
  <si>
    <t>B7019-2C-M</t>
    <phoneticPr fontId="4" type="noConversion"/>
  </si>
  <si>
    <t>B7019-2C-M</t>
  </si>
  <si>
    <t>ESV-S-A110P-F</t>
    <phoneticPr fontId="4" type="noConversion"/>
  </si>
  <si>
    <t>5/2-Way</t>
    <phoneticPr fontId="4" type="noConversion"/>
  </si>
  <si>
    <t>EXdIICT6</t>
    <phoneticPr fontId="4" type="noConversion"/>
  </si>
  <si>
    <t>ESV-S</t>
    <phoneticPr fontId="4" type="noConversion"/>
  </si>
  <si>
    <t>PG</t>
  </si>
  <si>
    <t>APL-512N</t>
  </si>
  <si>
    <t>ExdIICT6</t>
  </si>
  <si>
    <t>SV-410M</t>
  </si>
  <si>
    <t>SP-8000N11S10(TS800)</t>
    <phoneticPr fontId="4" type="noConversion"/>
  </si>
  <si>
    <t>IP-66</t>
    <phoneticPr fontId="28" type="noConversion"/>
  </si>
  <si>
    <t>SP-8000</t>
  </si>
  <si>
    <t>2-Wire</t>
  </si>
  <si>
    <t>TS300PS0</t>
  </si>
  <si>
    <t>TS300</t>
    <phoneticPr fontId="4" type="noConversion"/>
  </si>
  <si>
    <t>TSC</t>
  </si>
  <si>
    <t xml:space="preserve">ESV-S-A220P-F </t>
  </si>
  <si>
    <t>AC220V</t>
    <phoneticPr fontId="4" type="noConversion"/>
  </si>
  <si>
    <t>PG</t>
    <phoneticPr fontId="28" type="noConversion"/>
  </si>
  <si>
    <t>GLAA20A2A</t>
    <phoneticPr fontId="4" type="noConversion"/>
  </si>
  <si>
    <t>DPDT</t>
  </si>
  <si>
    <t>GLAA20A2A</t>
  </si>
  <si>
    <t>Honeywell</t>
  </si>
  <si>
    <t>SP-8000N11S30(TS800)</t>
    <phoneticPr fontId="4" type="noConversion"/>
  </si>
  <si>
    <t>Smart-Hart</t>
  </si>
  <si>
    <t>YT-200BN020</t>
  </si>
  <si>
    <t>YT-200-2 (고온용)</t>
    <phoneticPr fontId="4" type="noConversion"/>
  </si>
  <si>
    <t>Rotork</t>
  </si>
  <si>
    <t>ESV-S-D24P-F</t>
  </si>
  <si>
    <t>DC24V</t>
  </si>
  <si>
    <t>5/2-Way</t>
  </si>
  <si>
    <t>ESV-S</t>
  </si>
  <si>
    <t>SLP5130-AL</t>
  </si>
  <si>
    <t>SPDT</t>
  </si>
  <si>
    <t>Qlight</t>
  </si>
  <si>
    <t>SP-8100N11S30(TS800)</t>
    <phoneticPr fontId="4" type="noConversion"/>
  </si>
  <si>
    <t>SP-8100</t>
  </si>
  <si>
    <t>YT-200BP010</t>
  </si>
  <si>
    <t>YT-200</t>
    <phoneticPr fontId="4" type="noConversion"/>
  </si>
  <si>
    <t>Rotork</t>
    <phoneticPr fontId="28" type="noConversion"/>
  </si>
  <si>
    <t>HKW5020B</t>
    <phoneticPr fontId="4" type="noConversion"/>
  </si>
  <si>
    <t>SZL-WLC-B</t>
    <phoneticPr fontId="4" type="noConversion"/>
  </si>
  <si>
    <t>1*Close</t>
    <phoneticPr fontId="4" type="noConversion"/>
  </si>
  <si>
    <t>TS600LB12S0</t>
    <phoneticPr fontId="4" type="noConversion"/>
  </si>
  <si>
    <t>Conventional</t>
    <phoneticPr fontId="4" type="noConversion"/>
  </si>
  <si>
    <t>ExdIIBT5</t>
    <phoneticPr fontId="4" type="noConversion"/>
  </si>
  <si>
    <t>TS600L</t>
    <phoneticPr fontId="4" type="noConversion"/>
  </si>
  <si>
    <t>TSC</t>
    <phoneticPr fontId="28" type="noConversion"/>
  </si>
  <si>
    <t>YT-200BP020</t>
    <phoneticPr fontId="4" type="noConversion"/>
  </si>
  <si>
    <t>YT-200-H</t>
    <phoneticPr fontId="4" type="noConversion"/>
  </si>
  <si>
    <t>HKW5020S</t>
    <phoneticPr fontId="4" type="noConversion"/>
  </si>
  <si>
    <t>TS400M1S1</t>
  </si>
  <si>
    <t>TS-400</t>
  </si>
  <si>
    <t>TS600LC12S0</t>
    <phoneticPr fontId="4" type="noConversion"/>
  </si>
  <si>
    <t>ExdIICT5</t>
    <phoneticPr fontId="4" type="noConversion"/>
  </si>
  <si>
    <t>TS600LC</t>
    <phoneticPr fontId="4" type="noConversion"/>
  </si>
  <si>
    <t>YT-220BN010</t>
  </si>
  <si>
    <t>YT-220</t>
    <phoneticPr fontId="28" type="noConversion"/>
  </si>
  <si>
    <t>HPW2510B</t>
    <phoneticPr fontId="4" type="noConversion"/>
  </si>
  <si>
    <t>TS410MK1S1</t>
  </si>
  <si>
    <t>ExdIICT5/T6</t>
  </si>
  <si>
    <t>TS-410</t>
  </si>
  <si>
    <t>TS600LN12S1</t>
    <phoneticPr fontId="4" type="noConversion"/>
  </si>
  <si>
    <t>TS600L</t>
  </si>
  <si>
    <t>HPW2510SB</t>
    <phoneticPr fontId="4" type="noConversion"/>
  </si>
  <si>
    <t>TS600RB11S0</t>
    <phoneticPr fontId="4" type="noConversion"/>
  </si>
  <si>
    <t>TS600R</t>
    <phoneticPr fontId="28" type="noConversion"/>
  </si>
  <si>
    <t>HPW3212B</t>
    <phoneticPr fontId="4" type="noConversion"/>
  </si>
  <si>
    <t>TS600RN11S1</t>
    <phoneticPr fontId="4" type="noConversion"/>
  </si>
  <si>
    <t>TS600RN</t>
    <phoneticPr fontId="28" type="noConversion"/>
  </si>
  <si>
    <t>JKB8320G174MO</t>
    <phoneticPr fontId="4" type="noConversion"/>
  </si>
  <si>
    <t>AC220V</t>
  </si>
  <si>
    <t>3-Way, H-Class, Junction Box, Manual Operator</t>
    <phoneticPr fontId="4" type="noConversion"/>
  </si>
  <si>
    <t>ASCO</t>
    <phoneticPr fontId="28" type="noConversion"/>
  </si>
  <si>
    <t>TS600RC11S0</t>
    <phoneticPr fontId="4" type="noConversion"/>
  </si>
  <si>
    <t>TS600R-C</t>
  </si>
  <si>
    <t>JKH8320G174M0</t>
  </si>
  <si>
    <t>DC24V / 2Set</t>
    <phoneticPr fontId="4" type="noConversion"/>
  </si>
  <si>
    <t>3-Way, H-Class</t>
    <phoneticPr fontId="4" type="noConversion"/>
  </si>
  <si>
    <t>JKH8320G174MO</t>
    <phoneticPr fontId="4" type="noConversion"/>
  </si>
  <si>
    <t>TS700LSN11S10</t>
    <phoneticPr fontId="4" type="noConversion"/>
  </si>
  <si>
    <t>Smart, Fail Freeze</t>
  </si>
  <si>
    <t>TS700L</t>
    <phoneticPr fontId="4" type="noConversion"/>
  </si>
  <si>
    <t>MOOU-8AE-12PU-AC110V</t>
    <phoneticPr fontId="4" type="noConversion"/>
  </si>
  <si>
    <t>AC110V</t>
  </si>
  <si>
    <t>3-Way</t>
  </si>
  <si>
    <t>ExdIIBT4</t>
  </si>
  <si>
    <t>MOOU-8AE-12PU</t>
  </si>
  <si>
    <t>KANEKO</t>
    <phoneticPr fontId="28" type="noConversion"/>
  </si>
  <si>
    <t>TS800RA11S10</t>
  </si>
  <si>
    <t>Smart</t>
  </si>
  <si>
    <t>Exia II CT6</t>
    <phoneticPr fontId="4" type="noConversion"/>
  </si>
  <si>
    <t>TS800RA</t>
  </si>
  <si>
    <t>15~30V DC / 2-Wire</t>
    <phoneticPr fontId="28" type="noConversion"/>
  </si>
  <si>
    <t>MOOU-8AE-12PU-AC220V</t>
  </si>
  <si>
    <t>KANEKO</t>
  </si>
  <si>
    <t>TS820RA11S01</t>
    <phoneticPr fontId="4" type="noConversion"/>
  </si>
  <si>
    <t>Smart, Remote, 5m</t>
    <phoneticPr fontId="4" type="noConversion"/>
  </si>
  <si>
    <t>ExiaIICT5/T6</t>
    <phoneticPr fontId="4" type="noConversion"/>
  </si>
  <si>
    <t>TS820R</t>
    <phoneticPr fontId="4" type="noConversion"/>
  </si>
  <si>
    <t>MOOU-8DE-12PU-DC24V</t>
    <phoneticPr fontId="4" type="noConversion"/>
  </si>
  <si>
    <t>MOOU-8DE-12PU</t>
    <phoneticPr fontId="4" type="noConversion"/>
  </si>
  <si>
    <t>TS900LC31S10</t>
    <phoneticPr fontId="4" type="noConversion"/>
  </si>
  <si>
    <t>Smart</t>
    <phoneticPr fontId="4" type="noConversion"/>
  </si>
  <si>
    <t>ExdIICT6</t>
    <phoneticPr fontId="4" type="noConversion"/>
  </si>
  <si>
    <t>TS900L</t>
    <phoneticPr fontId="4" type="noConversion"/>
  </si>
  <si>
    <t>RDS5120-1DZ-03</t>
    <phoneticPr fontId="4" type="noConversion"/>
  </si>
  <si>
    <t>5-Way</t>
  </si>
  <si>
    <t>RDS5120-03</t>
  </si>
  <si>
    <t>TPC</t>
    <phoneticPr fontId="28" type="noConversion"/>
  </si>
  <si>
    <t>TS900LC31S20</t>
    <phoneticPr fontId="4" type="noConversion"/>
  </si>
  <si>
    <t>TS900L</t>
  </si>
  <si>
    <t>SV-210-1D</t>
    <phoneticPr fontId="4" type="noConversion"/>
  </si>
  <si>
    <t>3-Way, 램프형</t>
    <phoneticPr fontId="4" type="noConversion"/>
  </si>
  <si>
    <t>SV-210D</t>
    <phoneticPr fontId="4" type="noConversion"/>
  </si>
  <si>
    <t>SYC</t>
  </si>
  <si>
    <t>TS900LC31S30</t>
    <phoneticPr fontId="4" type="noConversion"/>
  </si>
  <si>
    <t>SV-210-1D-LAMP</t>
  </si>
  <si>
    <t>TS900RC31S10</t>
    <phoneticPr fontId="4" type="noConversion"/>
  </si>
  <si>
    <t>TS900R</t>
  </si>
  <si>
    <t>SV-210-1D-LOCK LEVER</t>
  </si>
  <si>
    <t>3-Way, Lock Lever Type, 램프형</t>
    <phoneticPr fontId="4" type="noConversion"/>
  </si>
  <si>
    <t>SV-210D</t>
  </si>
  <si>
    <t>SYC</t>
    <phoneticPr fontId="28" type="noConversion"/>
  </si>
  <si>
    <t>YT-1000LSC231S0</t>
    <phoneticPr fontId="4" type="noConversion"/>
  </si>
  <si>
    <t>ExdIICT5</t>
  </si>
  <si>
    <t>YT-1000L-C</t>
  </si>
  <si>
    <t>SV-210-1D-LOCK LEVER+LAMP</t>
  </si>
  <si>
    <t>YT-1000LSM231S0</t>
    <phoneticPr fontId="4" type="noConversion"/>
  </si>
  <si>
    <t>ExdIIBT5</t>
  </si>
  <si>
    <t>YT-1000L</t>
  </si>
  <si>
    <t>SV-210-2D</t>
    <phoneticPr fontId="4" type="noConversion"/>
  </si>
  <si>
    <t>YT-1000RSM231S0</t>
  </si>
  <si>
    <t>YT-1000R</t>
  </si>
  <si>
    <t>SV-210-2D-LAMP</t>
  </si>
  <si>
    <t>YT-1200LS231S0</t>
  </si>
  <si>
    <t>YT-1200L</t>
    <phoneticPr fontId="28" type="noConversion"/>
  </si>
  <si>
    <t>SV-210-2D-LOCK LEVER</t>
  </si>
  <si>
    <t>YT-3300LSN1101S</t>
    <phoneticPr fontId="4" type="noConversion"/>
  </si>
  <si>
    <t>YT-3300L</t>
    <phoneticPr fontId="28" type="noConversion"/>
  </si>
  <si>
    <t>SV-210-2D-LOCK LEVER+LAMP</t>
  </si>
  <si>
    <t>YT-3300LSN1120S</t>
    <phoneticPr fontId="4" type="noConversion"/>
  </si>
  <si>
    <t>SV-210-4D-LAMP</t>
  </si>
  <si>
    <t>YT-3300LSN1121S</t>
    <phoneticPr fontId="4" type="noConversion"/>
  </si>
  <si>
    <t>SV-210-4D-LOCK LEVER</t>
  </si>
  <si>
    <t>5-Way, Lock Type</t>
  </si>
  <si>
    <t>YT-3300RSN2120S</t>
    <phoneticPr fontId="4" type="noConversion"/>
  </si>
  <si>
    <t>YT-3300R</t>
  </si>
  <si>
    <t>SV-210-4D-LOCK LEVER+LAMP</t>
  </si>
  <si>
    <t>YT-3303LDN2121S</t>
    <phoneticPr fontId="4" type="noConversion"/>
  </si>
  <si>
    <t>YT-3303LD</t>
  </si>
  <si>
    <t>SV-410-1D-LOCK LEVER</t>
  </si>
  <si>
    <t>SV-410D</t>
  </si>
  <si>
    <t>YT-3303LSN2100S</t>
    <phoneticPr fontId="4" type="noConversion"/>
  </si>
  <si>
    <t>YT-3303L</t>
  </si>
  <si>
    <t>VCEFCMHBX8320G174MO-AC110V</t>
  </si>
  <si>
    <t>3-Way, Manual Operator</t>
    <phoneticPr fontId="4" type="noConversion"/>
  </si>
  <si>
    <t>VCEFCMHBX8320G174MO</t>
    <phoneticPr fontId="4" type="noConversion"/>
  </si>
  <si>
    <t>YT-3303LSN2101S</t>
    <phoneticPr fontId="4" type="noConversion"/>
  </si>
  <si>
    <t>VCEFCMHBX8320G174MO-AC220V</t>
    <phoneticPr fontId="28" type="noConversion"/>
  </si>
  <si>
    <t>3-Way, H-Class, Junction Box, Manual Operator</t>
  </si>
  <si>
    <t>ExdIICT3</t>
  </si>
  <si>
    <t>VCEFCMHBX8320G174MO</t>
  </si>
  <si>
    <t>ASCO</t>
  </si>
  <si>
    <t>YT-3303LSN2120S</t>
    <phoneticPr fontId="4" type="noConversion"/>
  </si>
  <si>
    <t>YT-3303LSN2121S</t>
    <phoneticPr fontId="4" type="noConversion"/>
  </si>
  <si>
    <t>YT-3400LDC2121S</t>
    <phoneticPr fontId="4" type="noConversion"/>
  </si>
  <si>
    <t>Smart-Hart</t>
    <phoneticPr fontId="4" type="noConversion"/>
  </si>
  <si>
    <t>YT-3400LD</t>
    <phoneticPr fontId="4" type="noConversion"/>
  </si>
  <si>
    <t>YT-3400LSC2100S</t>
    <phoneticPr fontId="4" type="noConversion"/>
  </si>
  <si>
    <t>YT-3400L</t>
  </si>
  <si>
    <t>YT-3400LSC2101S</t>
    <phoneticPr fontId="4" type="noConversion"/>
  </si>
  <si>
    <t>2-Wire</t>
    <phoneticPr fontId="28" type="noConversion"/>
  </si>
  <si>
    <t>YT-3400LSC2121S</t>
    <phoneticPr fontId="4" type="noConversion"/>
  </si>
  <si>
    <t>YT-3400RSC2100S</t>
    <phoneticPr fontId="4" type="noConversion"/>
  </si>
  <si>
    <t>YT-3400R</t>
    <phoneticPr fontId="4" type="noConversion"/>
  </si>
  <si>
    <t/>
  </si>
  <si>
    <t>PROVAL 고정?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</si>
</sst>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"/>
  </numFmts>
  <fonts count="32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Arial Narrow"/>
      <family val="2"/>
    </font>
    <font>
      <b/>
      <sz val="9"/>
      <name val="Arial Narrow"/>
      <family val="2"/>
    </font>
    <font>
      <sz val="8"/>
      <name val="돋움"/>
      <family val="3"/>
      <charset val="129"/>
    </font>
    <font>
      <sz val="10"/>
      <name val="Times New Roman"/>
      <family val="1"/>
    </font>
    <font>
      <b/>
      <sz val="11"/>
      <name val="Arial Narrow"/>
      <family val="2"/>
    </font>
    <font>
      <sz val="8.5"/>
      <name val="Arial Narrow"/>
      <family val="2"/>
    </font>
    <font>
      <b/>
      <sz val="9"/>
      <name val="Arial Narrow"/>
      <family val="2"/>
      <charset val="134"/>
    </font>
    <font>
      <sz val="10"/>
      <color theme="1"/>
      <name val="맑은 고딕"/>
      <family val="3"/>
      <charset val="129"/>
      <scheme val="minor"/>
    </font>
    <font>
      <b/>
      <sz val="7"/>
      <name val="Arial Narrow"/>
      <family val="2"/>
    </font>
    <font>
      <b/>
      <sz val="10"/>
      <color theme="1"/>
      <name val="맑은 고딕"/>
      <family val="3"/>
      <charset val="129"/>
      <scheme val="minor"/>
    </font>
    <font>
      <b/>
      <sz val="8"/>
      <name val="Arial Narrow"/>
      <family val="2"/>
    </font>
    <font>
      <sz val="10"/>
      <name val="MS Sans Serif"/>
      <family val="2"/>
    </font>
    <font>
      <b/>
      <sz val="9"/>
      <color indexed="8"/>
      <name val="Arial Narrow"/>
      <family val="2"/>
    </font>
    <font>
      <b/>
      <sz val="9"/>
      <color rgb="FF000000"/>
      <name val="Segoe UI Symbol"/>
      <family val="2"/>
    </font>
    <font>
      <b/>
      <sz val="6"/>
      <name val="Arial Narrow"/>
      <family val="2"/>
    </font>
    <font>
      <b/>
      <sz val="10"/>
      <name val="맑은 고딕"/>
      <family val="3"/>
      <charset val="129"/>
      <scheme val="minor"/>
    </font>
    <font>
      <b/>
      <sz val="9"/>
      <color theme="1"/>
      <name val="Arial Narrow"/>
      <family val="2"/>
    </font>
    <font>
      <b/>
      <sz val="16"/>
      <name val="Arial Narrow"/>
      <family val="2"/>
    </font>
    <font>
      <b/>
      <sz val="20"/>
      <name val="Arial Narrow"/>
      <family val="2"/>
    </font>
    <font>
      <sz val="11"/>
      <color theme="1"/>
      <name val="맑은 고딕"/>
      <family val="2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10" fillId="0" borderId="0"/>
    <xf numFmtId="0" fontId="18" fillId="0" borderId="0"/>
    <xf numFmtId="0" fontId="2" fillId="0" borderId="0">
      <alignment vertical="center"/>
    </xf>
    <xf numFmtId="0" fontId="26" fillId="0" borderId="0"/>
    <xf numFmtId="0" fontId="1" fillId="0" borderId="0">
      <alignment vertical="center"/>
    </xf>
  </cellStyleXfs>
  <cellXfs count="389">
    <xf numFmtId="0" fontId="0" fillId="0" borderId="0" xfId="0">
      <alignment vertical="center"/>
    </xf>
    <xf numFmtId="0" fontId="6" fillId="2" borderId="0" xfId="2" applyFont="1" applyFill="1">
      <alignment vertical="center"/>
    </xf>
    <xf numFmtId="0" fontId="6" fillId="2" borderId="0" xfId="2" applyFont="1" applyFill="1" applyAlignment="1">
      <alignment horizontal="center" vertical="center"/>
    </xf>
    <xf numFmtId="49" fontId="8" fillId="2" borderId="9" xfId="3" applyNumberFormat="1" applyFont="1" applyFill="1" applyBorder="1" applyAlignment="1">
      <alignment horizontal="center" vertical="center"/>
    </xf>
    <xf numFmtId="49" fontId="8" fillId="2" borderId="7" xfId="3" applyNumberFormat="1" applyFont="1" applyFill="1" applyBorder="1" applyAlignment="1">
      <alignment horizontal="center" vertical="center"/>
    </xf>
    <xf numFmtId="49" fontId="8" fillId="2" borderId="11" xfId="3" applyNumberFormat="1" applyFont="1" applyFill="1" applyBorder="1" applyAlignment="1">
      <alignment horizontal="center" vertical="center"/>
    </xf>
    <xf numFmtId="49" fontId="8" fillId="2" borderId="12" xfId="3" applyNumberFormat="1" applyFont="1" applyFill="1" applyBorder="1" applyAlignment="1">
      <alignment horizontal="center" vertical="center"/>
    </xf>
    <xf numFmtId="14" fontId="8" fillId="2" borderId="13" xfId="3" applyNumberFormat="1" applyFont="1" applyFill="1" applyBorder="1" applyAlignment="1">
      <alignment horizontal="center" vertical="center"/>
    </xf>
    <xf numFmtId="14" fontId="8" fillId="2" borderId="11" xfId="3" applyNumberFormat="1" applyFont="1" applyFill="1" applyBorder="1" applyAlignment="1">
      <alignment horizontal="center" vertical="center"/>
    </xf>
    <xf numFmtId="14" fontId="8" fillId="2" borderId="12" xfId="3" applyNumberFormat="1" applyFont="1" applyFill="1" applyBorder="1" applyAlignment="1">
      <alignment horizontal="center" vertical="center"/>
    </xf>
    <xf numFmtId="49" fontId="8" fillId="2" borderId="16" xfId="3" applyNumberFormat="1" applyFont="1" applyFill="1" applyBorder="1" applyAlignment="1">
      <alignment vertical="center"/>
    </xf>
    <xf numFmtId="49" fontId="8" fillId="2" borderId="11" xfId="3" applyNumberFormat="1" applyFont="1" applyFill="1" applyBorder="1" applyAlignment="1">
      <alignment vertical="center"/>
    </xf>
    <xf numFmtId="49" fontId="8" fillId="2" borderId="17" xfId="3" applyNumberFormat="1" applyFont="1" applyFill="1" applyBorder="1" applyAlignment="1">
      <alignment vertical="center"/>
    </xf>
    <xf numFmtId="49" fontId="8" fillId="2" borderId="18" xfId="3" applyNumberFormat="1" applyFont="1" applyFill="1" applyBorder="1" applyAlignment="1">
      <alignment horizontal="center" vertical="center"/>
    </xf>
    <xf numFmtId="49" fontId="8" fillId="2" borderId="16" xfId="3" applyNumberFormat="1" applyFont="1" applyFill="1" applyBorder="1" applyAlignment="1">
      <alignment horizontal="center" vertical="center"/>
    </xf>
    <xf numFmtId="0" fontId="8" fillId="2" borderId="16" xfId="4" applyFont="1" applyFill="1" applyBorder="1" applyAlignment="1" applyProtection="1">
      <alignment horizontal="left" vertical="center"/>
      <protection locked="0"/>
    </xf>
    <xf numFmtId="49" fontId="8" fillId="2" borderId="17" xfId="3" applyNumberFormat="1" applyFont="1" applyFill="1" applyBorder="1" applyAlignment="1">
      <alignment horizontal="center" vertical="center"/>
    </xf>
    <xf numFmtId="0" fontId="8" fillId="2" borderId="1" xfId="4" applyFont="1" applyFill="1" applyBorder="1" applyAlignment="1" applyProtection="1">
      <alignment horizontal="left" vertical="center"/>
      <protection locked="0"/>
    </xf>
    <xf numFmtId="0" fontId="8" fillId="2" borderId="2" xfId="4" applyFont="1" applyFill="1" applyBorder="1" applyAlignment="1" applyProtection="1">
      <alignment horizontal="left" vertical="center"/>
      <protection locked="0"/>
    </xf>
    <xf numFmtId="0" fontId="8" fillId="2" borderId="3" xfId="4" applyFont="1" applyFill="1" applyBorder="1" applyAlignment="1" applyProtection="1">
      <alignment horizontal="left" vertical="center"/>
      <protection locked="0"/>
    </xf>
    <xf numFmtId="0" fontId="8" fillId="2" borderId="6" xfId="4" applyFont="1" applyFill="1" applyBorder="1" applyAlignment="1" applyProtection="1">
      <alignment horizontal="left" vertical="center"/>
      <protection locked="0"/>
    </xf>
    <xf numFmtId="0" fontId="8" fillId="2" borderId="7" xfId="4" applyFont="1" applyFill="1" applyBorder="1" applyAlignment="1" applyProtection="1">
      <alignment horizontal="left" vertical="center"/>
      <protection locked="0"/>
    </xf>
    <xf numFmtId="0" fontId="8" fillId="2" borderId="8" xfId="4" applyFont="1" applyFill="1" applyBorder="1" applyAlignment="1" applyProtection="1">
      <alignment horizontal="left" vertical="center"/>
      <protection locked="0"/>
    </xf>
    <xf numFmtId="0" fontId="8" fillId="2" borderId="25" xfId="4" applyFont="1" applyFill="1" applyBorder="1" applyAlignment="1" applyProtection="1">
      <alignment horizontal="left" vertical="center"/>
      <protection locked="0"/>
    </xf>
    <xf numFmtId="0" fontId="8" fillId="2" borderId="11" xfId="4" applyFont="1" applyFill="1" applyBorder="1" applyAlignment="1" applyProtection="1">
      <alignment horizontal="left" vertical="center"/>
      <protection locked="0"/>
    </xf>
    <xf numFmtId="0" fontId="8" fillId="2" borderId="12" xfId="4" applyFont="1" applyFill="1" applyBorder="1" applyAlignment="1" applyProtection="1">
      <alignment horizontal="left" vertical="center"/>
      <protection locked="0"/>
    </xf>
    <xf numFmtId="0" fontId="8" fillId="2" borderId="28" xfId="4" applyFont="1" applyFill="1" applyBorder="1" applyAlignment="1">
      <alignment vertical="center"/>
    </xf>
    <xf numFmtId="0" fontId="8" fillId="2" borderId="3" xfId="4" applyFont="1" applyFill="1" applyBorder="1" applyAlignment="1">
      <alignment vertical="center"/>
    </xf>
    <xf numFmtId="0" fontId="8" fillId="2" borderId="13" xfId="4" applyFont="1" applyFill="1" applyBorder="1" applyAlignment="1">
      <alignment horizontal="left" vertical="center"/>
    </xf>
    <xf numFmtId="0" fontId="8" fillId="2" borderId="11" xfId="4" applyFont="1" applyFill="1" applyBorder="1" applyAlignment="1">
      <alignment horizontal="left" vertical="center"/>
    </xf>
    <xf numFmtId="0" fontId="8" fillId="2" borderId="12" xfId="4" applyFont="1" applyFill="1" applyBorder="1" applyAlignment="1">
      <alignment vertical="center"/>
    </xf>
    <xf numFmtId="0" fontId="8" fillId="2" borderId="8" xfId="4" applyFont="1" applyFill="1" applyBorder="1" applyAlignment="1">
      <alignment vertical="center"/>
    </xf>
    <xf numFmtId="0" fontId="8" fillId="2" borderId="7" xfId="4" applyFont="1" applyFill="1" applyBorder="1" applyAlignment="1">
      <alignment vertical="center"/>
    </xf>
    <xf numFmtId="0" fontId="8" fillId="2" borderId="35" xfId="5" applyFont="1" applyFill="1" applyBorder="1" applyAlignment="1" applyProtection="1">
      <alignment vertical="center" wrapText="1"/>
      <protection locked="0"/>
    </xf>
    <xf numFmtId="0" fontId="8" fillId="2" borderId="11" xfId="4" applyFont="1" applyFill="1" applyBorder="1" applyAlignment="1">
      <alignment vertical="center"/>
    </xf>
    <xf numFmtId="0" fontId="8" fillId="2" borderId="9" xfId="4" applyFont="1" applyFill="1" applyBorder="1" applyAlignment="1">
      <alignment vertical="center"/>
    </xf>
    <xf numFmtId="0" fontId="8" fillId="2" borderId="7" xfId="4" applyFont="1" applyFill="1" applyBorder="1" applyAlignment="1" applyProtection="1">
      <alignment vertical="center"/>
      <protection locked="0"/>
    </xf>
    <xf numFmtId="0" fontId="8" fillId="2" borderId="35" xfId="4" applyFont="1" applyFill="1" applyBorder="1" applyAlignment="1">
      <alignment vertical="center"/>
    </xf>
    <xf numFmtId="0" fontId="6" fillId="2" borderId="41" xfId="2" applyFont="1" applyFill="1" applyBorder="1">
      <alignment vertical="center"/>
    </xf>
    <xf numFmtId="0" fontId="6" fillId="2" borderId="21" xfId="2" applyFont="1" applyFill="1" applyBorder="1">
      <alignment vertical="center"/>
    </xf>
    <xf numFmtId="0" fontId="6" fillId="2" borderId="22" xfId="2" applyFont="1" applyFill="1" applyBorder="1" applyAlignment="1">
      <alignment horizontal="center" vertical="center"/>
    </xf>
    <xf numFmtId="0" fontId="6" fillId="2" borderId="42" xfId="2" applyFont="1" applyFill="1" applyBorder="1">
      <alignment vertical="center"/>
    </xf>
    <xf numFmtId="0" fontId="6" fillId="2" borderId="24" xfId="2" applyFont="1" applyFill="1" applyBorder="1" applyAlignment="1">
      <alignment horizontal="center" vertical="center"/>
    </xf>
    <xf numFmtId="0" fontId="8" fillId="2" borderId="3" xfId="4" applyFont="1" applyFill="1" applyBorder="1" applyAlignment="1">
      <alignment horizontal="left" vertical="center"/>
    </xf>
    <xf numFmtId="0" fontId="8" fillId="2" borderId="12" xfId="4" applyFont="1" applyFill="1" applyBorder="1" applyAlignment="1">
      <alignment vertical="center" wrapText="1"/>
    </xf>
    <xf numFmtId="49" fontId="8" fillId="2" borderId="8" xfId="5" applyNumberFormat="1" applyFont="1" applyFill="1" applyBorder="1" applyAlignment="1" applyProtection="1">
      <alignment vertical="center"/>
      <protection locked="0"/>
    </xf>
    <xf numFmtId="0" fontId="8" fillId="2" borderId="45" xfId="4" applyFont="1" applyFill="1" applyBorder="1" applyAlignment="1">
      <alignment vertical="center" wrapText="1"/>
    </xf>
    <xf numFmtId="0" fontId="6" fillId="2" borderId="24" xfId="2" applyFont="1" applyFill="1" applyBorder="1" applyAlignment="1">
      <alignment horizontal="left" vertical="center"/>
    </xf>
    <xf numFmtId="0" fontId="6" fillId="2" borderId="24" xfId="2" applyFont="1" applyFill="1" applyBorder="1">
      <alignment vertical="center"/>
    </xf>
    <xf numFmtId="0" fontId="8" fillId="2" borderId="17" xfId="4" applyFont="1" applyFill="1" applyBorder="1" applyAlignment="1">
      <alignment vertical="center"/>
    </xf>
    <xf numFmtId="0" fontId="8" fillId="2" borderId="45" xfId="4" applyFont="1" applyFill="1" applyBorder="1" applyAlignment="1">
      <alignment horizontal="left" vertical="center"/>
    </xf>
    <xf numFmtId="0" fontId="8" fillId="2" borderId="45" xfId="4" applyFont="1" applyFill="1" applyBorder="1" applyAlignment="1">
      <alignment vertical="center"/>
    </xf>
    <xf numFmtId="0" fontId="19" fillId="2" borderId="3" xfId="6" applyFont="1" applyFill="1" applyBorder="1" applyAlignment="1">
      <alignment vertical="center"/>
    </xf>
    <xf numFmtId="0" fontId="19" fillId="2" borderId="12" xfId="6" applyFont="1" applyFill="1" applyBorder="1" applyAlignment="1">
      <alignment vertical="center"/>
    </xf>
    <xf numFmtId="0" fontId="19" fillId="2" borderId="8" xfId="6" applyFont="1" applyFill="1" applyBorder="1" applyAlignment="1">
      <alignment vertical="center"/>
    </xf>
    <xf numFmtId="0" fontId="19" fillId="2" borderId="45" xfId="6" applyFont="1" applyFill="1" applyBorder="1" applyAlignment="1">
      <alignment vertical="center"/>
    </xf>
    <xf numFmtId="0" fontId="19" fillId="2" borderId="17" xfId="6" applyFont="1" applyFill="1" applyBorder="1" applyAlignment="1">
      <alignment vertical="center"/>
    </xf>
    <xf numFmtId="0" fontId="8" fillId="2" borderId="8" xfId="4" applyFont="1" applyFill="1" applyBorder="1" applyAlignment="1">
      <alignment horizontal="left" vertical="center"/>
    </xf>
    <xf numFmtId="0" fontId="6" fillId="2" borderId="22" xfId="2" applyFont="1" applyFill="1" applyBorder="1">
      <alignment vertical="center"/>
    </xf>
    <xf numFmtId="0" fontId="6" fillId="2" borderId="34" xfId="2" applyFont="1" applyFill="1" applyBorder="1">
      <alignment vertical="center"/>
    </xf>
    <xf numFmtId="0" fontId="8" fillId="2" borderId="50" xfId="4" applyFont="1" applyFill="1" applyBorder="1" applyAlignment="1">
      <alignment horizontal="center" vertical="center"/>
    </xf>
    <xf numFmtId="0" fontId="8" fillId="2" borderId="51" xfId="4" applyFont="1" applyFill="1" applyBorder="1" applyAlignment="1">
      <alignment horizontal="center" vertical="center"/>
    </xf>
    <xf numFmtId="0" fontId="8" fillId="2" borderId="51" xfId="4" applyFont="1" applyFill="1" applyBorder="1" applyAlignment="1">
      <alignment vertical="center"/>
    </xf>
    <xf numFmtId="0" fontId="8" fillId="2" borderId="51" xfId="4" applyFont="1" applyFill="1" applyBorder="1" applyAlignment="1" applyProtection="1">
      <alignment horizontal="left" vertical="center"/>
      <protection hidden="1"/>
    </xf>
    <xf numFmtId="0" fontId="24" fillId="2" borderId="51" xfId="4" applyFont="1" applyFill="1" applyBorder="1" applyAlignment="1">
      <alignment horizontal="center" vertical="center"/>
    </xf>
    <xf numFmtId="0" fontId="24" fillId="2" borderId="52" xfId="4" applyFont="1" applyFill="1" applyBorder="1" applyAlignment="1">
      <alignment horizontal="center" vertical="center"/>
    </xf>
    <xf numFmtId="0" fontId="8" fillId="2" borderId="4" xfId="4" applyFont="1" applyFill="1" applyBorder="1" applyAlignment="1">
      <alignment vertical="center"/>
    </xf>
    <xf numFmtId="0" fontId="8" fillId="2" borderId="2" xfId="4" applyFont="1" applyFill="1" applyBorder="1" applyAlignment="1">
      <alignment vertical="center"/>
    </xf>
    <xf numFmtId="0" fontId="6" fillId="2" borderId="53" xfId="2" applyFont="1" applyFill="1" applyBorder="1">
      <alignment vertical="center"/>
    </xf>
    <xf numFmtId="0" fontId="6" fillId="2" borderId="39" xfId="2" applyFont="1" applyFill="1" applyBorder="1">
      <alignment vertical="center"/>
    </xf>
    <xf numFmtId="0" fontId="6" fillId="2" borderId="40" xfId="2" applyFont="1" applyFill="1" applyBorder="1">
      <alignment vertical="center"/>
    </xf>
    <xf numFmtId="0" fontId="2" fillId="0" borderId="0" xfId="7">
      <alignment vertical="center"/>
    </xf>
    <xf numFmtId="0" fontId="7" fillId="2" borderId="0" xfId="7" applyFont="1" applyFill="1">
      <alignment vertical="center"/>
    </xf>
    <xf numFmtId="0" fontId="2" fillId="2" borderId="0" xfId="7" applyFill="1">
      <alignment vertical="center"/>
    </xf>
    <xf numFmtId="0" fontId="14" fillId="2" borderId="34" xfId="7" applyFont="1" applyFill="1" applyBorder="1" applyAlignment="1">
      <alignment horizontal="left" vertical="center"/>
    </xf>
    <xf numFmtId="0" fontId="16" fillId="2" borderId="8" xfId="7" applyFont="1" applyFill="1" applyBorder="1" applyAlignment="1">
      <alignment horizontal="left" vertical="center"/>
    </xf>
    <xf numFmtId="0" fontId="14" fillId="2" borderId="42" xfId="7" applyFont="1" applyFill="1" applyBorder="1">
      <alignment vertical="center"/>
    </xf>
    <xf numFmtId="0" fontId="14" fillId="2" borderId="24" xfId="7" applyFont="1" applyFill="1" applyBorder="1">
      <alignment vertical="center"/>
    </xf>
    <xf numFmtId="0" fontId="16" fillId="2" borderId="34" xfId="7" applyFont="1" applyFill="1" applyBorder="1" applyAlignment="1">
      <alignment horizontal="left" vertical="center"/>
    </xf>
    <xf numFmtId="0" fontId="22" fillId="2" borderId="34" xfId="2" applyFont="1" applyFill="1" applyBorder="1">
      <alignment vertical="center"/>
    </xf>
    <xf numFmtId="0" fontId="8" fillId="2" borderId="16" xfId="4" applyFont="1" applyFill="1" applyBorder="1" applyAlignment="1">
      <alignment horizontal="left" vertical="center"/>
    </xf>
    <xf numFmtId="0" fontId="8" fillId="2" borderId="15" xfId="4" applyFont="1" applyFill="1" applyBorder="1" applyAlignment="1">
      <alignment horizontal="left" vertical="center"/>
    </xf>
    <xf numFmtId="0" fontId="16" fillId="2" borderId="52" xfId="7" applyFont="1" applyFill="1" applyBorder="1" applyAlignment="1">
      <alignment horizontal="center" vertical="center"/>
    </xf>
    <xf numFmtId="0" fontId="16" fillId="2" borderId="51" xfId="7" applyFont="1" applyFill="1" applyBorder="1" applyAlignment="1">
      <alignment horizontal="center" vertical="center"/>
    </xf>
    <xf numFmtId="0" fontId="16" fillId="2" borderId="50" xfId="7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left" vertical="center"/>
    </xf>
    <xf numFmtId="0" fontId="8" fillId="2" borderId="6" xfId="4" applyFont="1" applyFill="1" applyBorder="1" applyAlignment="1">
      <alignment horizontal="left" vertical="center"/>
    </xf>
    <xf numFmtId="0" fontId="8" fillId="2" borderId="9" xfId="4" applyFont="1" applyFill="1" applyBorder="1" applyAlignment="1">
      <alignment horizontal="left" vertical="center"/>
    </xf>
    <xf numFmtId="0" fontId="8" fillId="2" borderId="2" xfId="4" applyFont="1" applyFill="1" applyBorder="1" applyAlignment="1" applyProtection="1">
      <alignment horizontal="left" vertical="center"/>
      <protection hidden="1"/>
    </xf>
    <xf numFmtId="0" fontId="8" fillId="2" borderId="4" xfId="4" applyFont="1" applyFill="1" applyBorder="1" applyAlignment="1" applyProtection="1">
      <alignment horizontal="left" vertical="center"/>
      <protection hidden="1"/>
    </xf>
    <xf numFmtId="0" fontId="8" fillId="2" borderId="2" xfId="4" applyFont="1" applyFill="1" applyBorder="1" applyAlignment="1">
      <alignment horizontal="left" vertical="center"/>
    </xf>
    <xf numFmtId="0" fontId="8" fillId="2" borderId="4" xfId="4" applyFont="1" applyFill="1" applyBorder="1" applyAlignment="1">
      <alignment horizontal="left" vertical="center"/>
    </xf>
    <xf numFmtId="0" fontId="8" fillId="2" borderId="3" xfId="4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8" fillId="2" borderId="8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24" fillId="2" borderId="40" xfId="4" applyFont="1" applyFill="1" applyBorder="1" applyAlignment="1">
      <alignment horizontal="center" vertical="center"/>
    </xf>
    <xf numFmtId="0" fontId="24" fillId="2" borderId="39" xfId="4" applyFont="1" applyFill="1" applyBorder="1" applyAlignment="1">
      <alignment horizontal="center" vertical="center"/>
    </xf>
    <xf numFmtId="0" fontId="24" fillId="2" borderId="53" xfId="4" applyFont="1" applyFill="1" applyBorder="1" applyAlignment="1">
      <alignment horizontal="center" vertical="center"/>
    </xf>
    <xf numFmtId="0" fontId="24" fillId="2" borderId="24" xfId="4" applyFont="1" applyFill="1" applyBorder="1" applyAlignment="1">
      <alignment horizontal="center" vertical="center"/>
    </xf>
    <xf numFmtId="0" fontId="24" fillId="2" borderId="0" xfId="4" applyFont="1" applyFill="1" applyAlignment="1">
      <alignment horizontal="center" vertical="center"/>
    </xf>
    <xf numFmtId="0" fontId="24" fillId="2" borderId="42" xfId="4" applyFont="1" applyFill="1" applyBorder="1" applyAlignment="1">
      <alignment horizontal="center" vertical="center"/>
    </xf>
    <xf numFmtId="0" fontId="24" fillId="2" borderId="22" xfId="4" applyFont="1" applyFill="1" applyBorder="1" applyAlignment="1">
      <alignment horizontal="center" vertical="center"/>
    </xf>
    <xf numFmtId="0" fontId="24" fillId="2" borderId="21" xfId="4" applyFont="1" applyFill="1" applyBorder="1" applyAlignment="1">
      <alignment horizontal="center" vertical="center"/>
    </xf>
    <xf numFmtId="0" fontId="24" fillId="2" borderId="41" xfId="4" applyFont="1" applyFill="1" applyBorder="1" applyAlignment="1">
      <alignment horizontal="center" vertical="center"/>
    </xf>
    <xf numFmtId="0" fontId="25" fillId="2" borderId="52" xfId="4" applyFont="1" applyFill="1" applyBorder="1" applyAlignment="1">
      <alignment horizontal="center" vertical="center"/>
    </xf>
    <xf numFmtId="0" fontId="25" fillId="2" borderId="51" xfId="4" applyFont="1" applyFill="1" applyBorder="1" applyAlignment="1">
      <alignment horizontal="center" vertical="center"/>
    </xf>
    <xf numFmtId="0" fontId="25" fillId="2" borderId="54" xfId="4" applyFont="1" applyFill="1" applyBorder="1" applyAlignment="1">
      <alignment horizontal="center" vertical="center"/>
    </xf>
    <xf numFmtId="0" fontId="8" fillId="2" borderId="51" xfId="4" applyFont="1" applyFill="1" applyBorder="1" applyAlignment="1">
      <alignment horizontal="center" vertical="center"/>
    </xf>
    <xf numFmtId="0" fontId="8" fillId="2" borderId="54" xfId="4" applyFont="1" applyFill="1" applyBorder="1" applyAlignment="1">
      <alignment horizontal="center" vertical="center"/>
    </xf>
    <xf numFmtId="0" fontId="8" fillId="2" borderId="50" xfId="4" applyFont="1" applyFill="1" applyBorder="1" applyAlignment="1">
      <alignment horizontal="center" vertical="center"/>
    </xf>
    <xf numFmtId="0" fontId="8" fillId="2" borderId="37" xfId="4" applyFont="1" applyFill="1" applyBorder="1" applyAlignment="1" applyProtection="1">
      <alignment horizontal="center" vertical="center"/>
      <protection locked="0"/>
    </xf>
    <xf numFmtId="0" fontId="8" fillId="2" borderId="36" xfId="4" applyFont="1" applyFill="1" applyBorder="1" applyAlignment="1" applyProtection="1">
      <alignment horizontal="center" vertical="center"/>
      <protection locked="0"/>
    </xf>
    <xf numFmtId="0" fontId="12" fillId="2" borderId="8" xfId="4" applyFont="1" applyFill="1" applyBorder="1" applyAlignment="1">
      <alignment horizontal="center" vertical="center" shrinkToFit="1"/>
    </xf>
    <xf numFmtId="0" fontId="12" fillId="2" borderId="9" xfId="4" applyFont="1" applyFill="1" applyBorder="1" applyAlignment="1">
      <alignment horizontal="center" vertical="center" shrinkToFit="1"/>
    </xf>
    <xf numFmtId="0" fontId="8" fillId="2" borderId="49" xfId="4" applyFont="1" applyFill="1" applyBorder="1" applyAlignment="1">
      <alignment horizontal="center" vertical="center"/>
    </xf>
    <xf numFmtId="0" fontId="8" fillId="2" borderId="48" xfId="4" applyFont="1" applyFill="1" applyBorder="1" applyAlignment="1">
      <alignment horizontal="center" vertical="center"/>
    </xf>
    <xf numFmtId="0" fontId="8" fillId="2" borderId="47" xfId="4" applyFont="1" applyFill="1" applyBorder="1" applyAlignment="1">
      <alignment horizontal="center" vertical="center"/>
    </xf>
    <xf numFmtId="0" fontId="8" fillId="2" borderId="34" xfId="4" applyFont="1" applyFill="1" applyBorder="1" applyAlignment="1">
      <alignment horizontal="center" vertical="center"/>
    </xf>
    <xf numFmtId="0" fontId="8" fillId="2" borderId="33" xfId="4" applyFont="1" applyFill="1" applyBorder="1" applyAlignment="1">
      <alignment horizontal="center" vertical="center"/>
    </xf>
    <xf numFmtId="0" fontId="11" fillId="2" borderId="40" xfId="4" applyFont="1" applyFill="1" applyBorder="1" applyAlignment="1">
      <alignment horizontal="center" vertical="center" textRotation="90"/>
    </xf>
    <xf numFmtId="0" fontId="11" fillId="2" borderId="39" xfId="4" applyFont="1" applyFill="1" applyBorder="1" applyAlignment="1">
      <alignment horizontal="center" vertical="center" textRotation="90"/>
    </xf>
    <xf numFmtId="0" fontId="11" fillId="2" borderId="38" xfId="4" applyFont="1" applyFill="1" applyBorder="1" applyAlignment="1">
      <alignment horizontal="center" vertical="center" textRotation="90"/>
    </xf>
    <xf numFmtId="0" fontId="11" fillId="2" borderId="24" xfId="4" applyFont="1" applyFill="1" applyBorder="1" applyAlignment="1">
      <alignment horizontal="center" vertical="center" textRotation="90"/>
    </xf>
    <xf numFmtId="0" fontId="11" fillId="2" borderId="0" xfId="4" applyFont="1" applyFill="1" applyAlignment="1">
      <alignment horizontal="center" vertical="center" textRotation="90"/>
    </xf>
    <xf numFmtId="0" fontId="11" fillId="2" borderId="23" xfId="4" applyFont="1" applyFill="1" applyBorder="1" applyAlignment="1">
      <alignment horizontal="center" vertical="center" textRotation="90"/>
    </xf>
    <xf numFmtId="0" fontId="11" fillId="2" borderId="22" xfId="4" applyFont="1" applyFill="1" applyBorder="1" applyAlignment="1">
      <alignment horizontal="center" vertical="center" textRotation="90"/>
    </xf>
    <xf numFmtId="0" fontId="11" fillId="2" borderId="21" xfId="4" applyFont="1" applyFill="1" applyBorder="1" applyAlignment="1">
      <alignment horizontal="center" vertical="center" textRotation="90"/>
    </xf>
    <xf numFmtId="0" fontId="11" fillId="2" borderId="20" xfId="4" applyFont="1" applyFill="1" applyBorder="1" applyAlignment="1">
      <alignment horizontal="center" vertical="center" textRotation="90"/>
    </xf>
    <xf numFmtId="0" fontId="12" fillId="2" borderId="17" xfId="4" applyFont="1" applyFill="1" applyBorder="1" applyAlignment="1">
      <alignment horizontal="center" vertical="center" shrinkToFit="1"/>
    </xf>
    <xf numFmtId="0" fontId="12" fillId="2" borderId="18" xfId="4" applyFont="1" applyFill="1" applyBorder="1" applyAlignment="1">
      <alignment horizontal="center" vertical="center" shrinkToFit="1"/>
    </xf>
    <xf numFmtId="0" fontId="8" fillId="2" borderId="16" xfId="4" applyFont="1" applyFill="1" applyBorder="1" applyAlignment="1">
      <alignment horizontal="center" vertical="center"/>
    </xf>
    <xf numFmtId="0" fontId="8" fillId="2" borderId="18" xfId="4" applyFont="1" applyFill="1" applyBorder="1" applyAlignment="1">
      <alignment horizontal="center" vertical="center"/>
    </xf>
    <xf numFmtId="0" fontId="8" fillId="2" borderId="17" xfId="4" applyFont="1" applyFill="1" applyBorder="1" applyAlignment="1">
      <alignment horizontal="center" vertical="center"/>
    </xf>
    <xf numFmtId="0" fontId="8" fillId="2" borderId="15" xfId="4" applyFont="1" applyFill="1" applyBorder="1" applyAlignment="1">
      <alignment horizontal="center" vertical="center"/>
    </xf>
    <xf numFmtId="0" fontId="12" fillId="2" borderId="8" xfId="4" applyFont="1" applyFill="1" applyBorder="1" applyAlignment="1">
      <alignment horizontal="center" vertical="center"/>
    </xf>
    <xf numFmtId="0" fontId="12" fillId="2" borderId="7" xfId="4" applyFont="1" applyFill="1" applyBorder="1" applyAlignment="1">
      <alignment horizontal="center" vertical="center"/>
    </xf>
    <xf numFmtId="0" fontId="12" fillId="2" borderId="17" xfId="4" applyFont="1" applyFill="1" applyBorder="1" applyAlignment="1">
      <alignment horizontal="center" vertical="center"/>
    </xf>
    <xf numFmtId="0" fontId="12" fillId="2" borderId="16" xfId="4" applyFont="1" applyFill="1" applyBorder="1" applyAlignment="1">
      <alignment horizontal="center" vertical="center"/>
    </xf>
    <xf numFmtId="0" fontId="8" fillId="2" borderId="18" xfId="4" applyFont="1" applyFill="1" applyBorder="1" applyAlignment="1">
      <alignment horizontal="left" vertical="center"/>
    </xf>
    <xf numFmtId="0" fontId="8" fillId="2" borderId="34" xfId="4" applyFont="1" applyFill="1" applyBorder="1" applyAlignment="1" applyProtection="1">
      <alignment horizontal="center" vertical="center"/>
      <protection locked="0"/>
    </xf>
    <xf numFmtId="0" fontId="8" fillId="2" borderId="33" xfId="4" applyFont="1" applyFill="1" applyBorder="1" applyAlignment="1" applyProtection="1">
      <alignment horizontal="center" vertical="center"/>
      <protection locked="0"/>
    </xf>
    <xf numFmtId="0" fontId="12" fillId="2" borderId="12" xfId="4" applyFont="1" applyFill="1" applyBorder="1" applyAlignment="1">
      <alignment horizontal="center" vertical="center"/>
    </xf>
    <xf numFmtId="0" fontId="12" fillId="2" borderId="11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left" vertical="center"/>
    </xf>
    <xf numFmtId="0" fontId="8" fillId="2" borderId="13" xfId="4" applyFont="1" applyFill="1" applyBorder="1" applyAlignment="1">
      <alignment horizontal="left" vertical="center"/>
    </xf>
    <xf numFmtId="0" fontId="12" fillId="2" borderId="3" xfId="4" applyFont="1" applyFill="1" applyBorder="1" applyAlignment="1">
      <alignment horizontal="center" vertical="center"/>
    </xf>
    <xf numFmtId="0" fontId="12" fillId="2" borderId="2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 textRotation="90" wrapText="1"/>
    </xf>
    <xf numFmtId="0" fontId="17" fillId="2" borderId="24" xfId="4" applyFont="1" applyFill="1" applyBorder="1" applyAlignment="1">
      <alignment horizontal="center" vertical="center" wrapText="1"/>
    </xf>
    <xf numFmtId="0" fontId="17" fillId="2" borderId="0" xfId="4" applyFont="1" applyFill="1" applyAlignment="1">
      <alignment horizontal="center" vertical="center" wrapText="1"/>
    </xf>
    <xf numFmtId="0" fontId="17" fillId="2" borderId="23" xfId="4" applyFont="1" applyFill="1" applyBorder="1" applyAlignment="1">
      <alignment horizontal="center" vertical="center" wrapText="1"/>
    </xf>
    <xf numFmtId="0" fontId="17" fillId="2" borderId="22" xfId="4" applyFont="1" applyFill="1" applyBorder="1" applyAlignment="1">
      <alignment horizontal="center" vertical="center" wrapText="1"/>
    </xf>
    <xf numFmtId="0" fontId="17" fillId="2" borderId="21" xfId="4" applyFont="1" applyFill="1" applyBorder="1" applyAlignment="1">
      <alignment horizontal="center" vertical="center" wrapText="1"/>
    </xf>
    <xf numFmtId="0" fontId="17" fillId="2" borderId="20" xfId="4" applyFont="1" applyFill="1" applyBorder="1" applyAlignment="1">
      <alignment horizontal="center" vertical="center" wrapText="1"/>
    </xf>
    <xf numFmtId="0" fontId="8" fillId="2" borderId="34" xfId="4" applyFont="1" applyFill="1" applyBorder="1" applyAlignment="1">
      <alignment horizontal="center" vertical="center" shrinkToFit="1"/>
    </xf>
    <xf numFmtId="0" fontId="8" fillId="2" borderId="30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0" fontId="21" fillId="2" borderId="24" xfId="4" applyFont="1" applyFill="1" applyBorder="1" applyAlignment="1">
      <alignment horizontal="center" vertical="center" textRotation="90" wrapText="1"/>
    </xf>
    <xf numFmtId="0" fontId="21" fillId="2" borderId="0" xfId="4" applyFont="1" applyFill="1" applyAlignment="1">
      <alignment horizontal="center" vertical="center" textRotation="90" wrapText="1"/>
    </xf>
    <xf numFmtId="0" fontId="21" fillId="2" borderId="23" xfId="4" applyFont="1" applyFill="1" applyBorder="1" applyAlignment="1">
      <alignment horizontal="center" vertical="center" textRotation="90" wrapText="1"/>
    </xf>
    <xf numFmtId="0" fontId="21" fillId="2" borderId="22" xfId="4" applyFont="1" applyFill="1" applyBorder="1" applyAlignment="1">
      <alignment horizontal="center" vertical="center" textRotation="90" wrapText="1"/>
    </xf>
    <xf numFmtId="0" fontId="21" fillId="2" borderId="21" xfId="4" applyFont="1" applyFill="1" applyBorder="1" applyAlignment="1">
      <alignment horizontal="center" vertical="center" textRotation="90" wrapText="1"/>
    </xf>
    <xf numFmtId="0" fontId="21" fillId="2" borderId="20" xfId="4" applyFont="1" applyFill="1" applyBorder="1" applyAlignment="1">
      <alignment horizontal="center" vertical="center" textRotation="90" wrapText="1"/>
    </xf>
    <xf numFmtId="0" fontId="12" fillId="2" borderId="7" xfId="4" applyFont="1" applyFill="1" applyBorder="1" applyAlignment="1">
      <alignment horizontal="center" vertical="center" shrinkToFit="1"/>
    </xf>
    <xf numFmtId="0" fontId="19" fillId="2" borderId="7" xfId="6" applyFont="1" applyFill="1" applyBorder="1" applyAlignment="1">
      <alignment horizontal="left" vertical="center"/>
    </xf>
    <xf numFmtId="0" fontId="19" fillId="2" borderId="9" xfId="6" applyFont="1" applyFill="1" applyBorder="1" applyAlignment="1">
      <alignment horizontal="left" vertical="center"/>
    </xf>
    <xf numFmtId="0" fontId="19" fillId="2" borderId="8" xfId="6" applyFont="1" applyFill="1" applyBorder="1" applyAlignment="1">
      <alignment horizontal="center" vertical="center"/>
    </xf>
    <xf numFmtId="0" fontId="19" fillId="2" borderId="7" xfId="6" applyFont="1" applyFill="1" applyBorder="1" applyAlignment="1">
      <alignment horizontal="center" vertical="center"/>
    </xf>
    <xf numFmtId="0" fontId="19" fillId="2" borderId="9" xfId="6" applyFont="1" applyFill="1" applyBorder="1" applyAlignment="1">
      <alignment horizontal="center" vertical="center"/>
    </xf>
    <xf numFmtId="0" fontId="8" fillId="2" borderId="34" xfId="4" applyFont="1" applyFill="1" applyBorder="1" applyAlignment="1">
      <alignment horizontal="right" vertical="center" indent="4"/>
    </xf>
    <xf numFmtId="0" fontId="8" fillId="2" borderId="33" xfId="4" applyFont="1" applyFill="1" applyBorder="1" applyAlignment="1">
      <alignment horizontal="right" vertical="center" indent="4"/>
    </xf>
    <xf numFmtId="0" fontId="12" fillId="2" borderId="16" xfId="4" applyFont="1" applyFill="1" applyBorder="1" applyAlignment="1">
      <alignment horizontal="center" vertical="center" shrinkToFit="1"/>
    </xf>
    <xf numFmtId="0" fontId="19" fillId="2" borderId="16" xfId="6" applyFont="1" applyFill="1" applyBorder="1" applyAlignment="1">
      <alignment horizontal="left" vertical="center"/>
    </xf>
    <xf numFmtId="0" fontId="19" fillId="2" borderId="18" xfId="6" applyFont="1" applyFill="1" applyBorder="1" applyAlignment="1">
      <alignment horizontal="left" vertical="center"/>
    </xf>
    <xf numFmtId="0" fontId="19" fillId="2" borderId="17" xfId="6" applyFont="1" applyFill="1" applyBorder="1" applyAlignment="1">
      <alignment horizontal="center" vertical="center"/>
    </xf>
    <xf numFmtId="0" fontId="19" fillId="2" borderId="16" xfId="6" applyFont="1" applyFill="1" applyBorder="1" applyAlignment="1">
      <alignment horizontal="center" vertical="center"/>
    </xf>
    <xf numFmtId="0" fontId="19" fillId="2" borderId="18" xfId="6" applyFont="1" applyFill="1" applyBorder="1" applyAlignment="1">
      <alignment horizontal="center" vertical="center"/>
    </xf>
    <xf numFmtId="0" fontId="8" fillId="2" borderId="37" xfId="4" applyFont="1" applyFill="1" applyBorder="1" applyAlignment="1">
      <alignment horizontal="right" vertical="center" indent="4"/>
    </xf>
    <xf numFmtId="0" fontId="8" fillId="2" borderId="36" xfId="4" applyFont="1" applyFill="1" applyBorder="1" applyAlignment="1">
      <alignment horizontal="right" vertical="center" indent="4"/>
    </xf>
    <xf numFmtId="0" fontId="12" fillId="2" borderId="3" xfId="4" applyFont="1" applyFill="1" applyBorder="1" applyAlignment="1">
      <alignment horizontal="center" vertical="center" shrinkToFit="1"/>
    </xf>
    <xf numFmtId="0" fontId="12" fillId="2" borderId="4" xfId="4" applyFont="1" applyFill="1" applyBorder="1" applyAlignment="1">
      <alignment horizontal="center" vertical="center" shrinkToFit="1"/>
    </xf>
    <xf numFmtId="0" fontId="19" fillId="2" borderId="44" xfId="6" applyFont="1" applyFill="1" applyBorder="1" applyAlignment="1">
      <alignment horizontal="left" vertical="center"/>
    </xf>
    <xf numFmtId="0" fontId="19" fillId="2" borderId="43" xfId="6" applyFont="1" applyFill="1" applyBorder="1" applyAlignment="1">
      <alignment horizontal="left" vertical="center"/>
    </xf>
    <xf numFmtId="0" fontId="19" fillId="2" borderId="11" xfId="6" applyFont="1" applyFill="1" applyBorder="1" applyAlignment="1">
      <alignment horizontal="left" vertical="center"/>
    </xf>
    <xf numFmtId="0" fontId="19" fillId="2" borderId="13" xfId="6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 textRotation="90" wrapText="1"/>
    </xf>
    <xf numFmtId="0" fontId="11" fillId="2" borderId="23" xfId="4" applyFont="1" applyFill="1" applyBorder="1" applyAlignment="1">
      <alignment horizontal="center" vertical="center" textRotation="90" wrapText="1"/>
    </xf>
    <xf numFmtId="0" fontId="8" fillId="2" borderId="24" xfId="4" applyFont="1" applyFill="1" applyBorder="1" applyAlignment="1">
      <alignment horizontal="center" vertical="center" wrapText="1"/>
    </xf>
    <xf numFmtId="0" fontId="8" fillId="2" borderId="0" xfId="4" applyFont="1" applyFill="1" applyAlignment="1">
      <alignment horizontal="center" vertical="center" wrapText="1"/>
    </xf>
    <xf numFmtId="0" fontId="8" fillId="2" borderId="23" xfId="4" applyFont="1" applyFill="1" applyBorder="1" applyAlignment="1">
      <alignment horizontal="center" vertical="center" wrapText="1"/>
    </xf>
    <xf numFmtId="0" fontId="8" fillId="2" borderId="22" xfId="4" applyFont="1" applyFill="1" applyBorder="1" applyAlignment="1">
      <alignment horizontal="center" vertical="center" wrapText="1"/>
    </xf>
    <xf numFmtId="0" fontId="8" fillId="2" borderId="21" xfId="4" applyFont="1" applyFill="1" applyBorder="1" applyAlignment="1">
      <alignment horizontal="center" vertical="center" wrapText="1"/>
    </xf>
    <xf numFmtId="0" fontId="8" fillId="2" borderId="20" xfId="4" applyFont="1" applyFill="1" applyBorder="1" applyAlignment="1">
      <alignment horizontal="center" vertical="center" wrapText="1"/>
    </xf>
    <xf numFmtId="0" fontId="12" fillId="2" borderId="12" xfId="4" applyFont="1" applyFill="1" applyBorder="1" applyAlignment="1">
      <alignment horizontal="center" vertical="center" shrinkToFit="1"/>
    </xf>
    <xf numFmtId="0" fontId="12" fillId="2" borderId="11" xfId="4" applyFont="1" applyFill="1" applyBorder="1" applyAlignment="1">
      <alignment horizontal="center" vertical="center" shrinkToFit="1"/>
    </xf>
    <xf numFmtId="0" fontId="8" fillId="2" borderId="32" xfId="4" applyFont="1" applyFill="1" applyBorder="1" applyAlignment="1">
      <alignment horizontal="center" vertical="center"/>
    </xf>
    <xf numFmtId="0" fontId="19" fillId="2" borderId="32" xfId="6" applyFont="1" applyFill="1" applyBorder="1" applyAlignment="1">
      <alignment horizontal="center" vertical="center"/>
    </xf>
    <xf numFmtId="0" fontId="19" fillId="2" borderId="31" xfId="6" applyFont="1" applyFill="1" applyBorder="1" applyAlignment="1">
      <alignment horizontal="center" vertical="center"/>
    </xf>
    <xf numFmtId="0" fontId="12" fillId="2" borderId="2" xfId="4" applyFont="1" applyFill="1" applyBorder="1" applyAlignment="1">
      <alignment horizontal="center" vertical="center" shrinkToFit="1"/>
    </xf>
    <xf numFmtId="0" fontId="19" fillId="2" borderId="2" xfId="6" applyFont="1" applyFill="1" applyBorder="1" applyAlignment="1">
      <alignment horizontal="left" vertical="center"/>
    </xf>
    <xf numFmtId="0" fontId="19" fillId="2" borderId="4" xfId="6" applyFont="1" applyFill="1" applyBorder="1" applyAlignment="1">
      <alignment horizontal="left" vertical="center"/>
    </xf>
    <xf numFmtId="0" fontId="19" fillId="2" borderId="30" xfId="6" applyFont="1" applyFill="1" applyBorder="1" applyAlignment="1">
      <alignment horizontal="center" vertical="center"/>
    </xf>
    <xf numFmtId="0" fontId="19" fillId="2" borderId="29" xfId="6" applyFont="1" applyFill="1" applyBorder="1" applyAlignment="1">
      <alignment horizontal="center" vertical="center"/>
    </xf>
    <xf numFmtId="0" fontId="12" fillId="2" borderId="45" xfId="4" applyFont="1" applyFill="1" applyBorder="1" applyAlignment="1">
      <alignment horizontal="center" vertical="center"/>
    </xf>
    <xf numFmtId="0" fontId="12" fillId="2" borderId="44" xfId="4" applyFont="1" applyFill="1" applyBorder="1" applyAlignment="1">
      <alignment horizontal="center" vertical="center"/>
    </xf>
    <xf numFmtId="0" fontId="8" fillId="2" borderId="44" xfId="4" applyFont="1" applyFill="1" applyBorder="1" applyAlignment="1">
      <alignment horizontal="left" vertical="center"/>
    </xf>
    <xf numFmtId="0" fontId="8" fillId="2" borderId="43" xfId="4" applyFont="1" applyFill="1" applyBorder="1" applyAlignment="1">
      <alignment horizontal="left" vertical="center"/>
    </xf>
    <xf numFmtId="0" fontId="8" fillId="2" borderId="7" xfId="4" applyFont="1" applyFill="1" applyBorder="1" applyAlignment="1">
      <alignment vertical="center"/>
    </xf>
    <xf numFmtId="0" fontId="8" fillId="2" borderId="9" xfId="4" applyFont="1" applyFill="1" applyBorder="1" applyAlignment="1">
      <alignment vertical="center"/>
    </xf>
    <xf numFmtId="0" fontId="8" fillId="2" borderId="34" xfId="5" applyFont="1" applyFill="1" applyBorder="1" applyAlignment="1" applyProtection="1">
      <alignment horizontal="center" vertical="center"/>
      <protection locked="0"/>
    </xf>
    <xf numFmtId="0" fontId="8" fillId="2" borderId="33" xfId="5" applyFont="1" applyFill="1" applyBorder="1" applyAlignment="1" applyProtection="1">
      <alignment horizontal="center" vertical="center"/>
      <protection locked="0"/>
    </xf>
    <xf numFmtId="0" fontId="8" fillId="2" borderId="8" xfId="5" applyFont="1" applyFill="1" applyBorder="1" applyAlignment="1" applyProtection="1">
      <alignment horizontal="center" vertical="center"/>
      <protection locked="0"/>
    </xf>
    <xf numFmtId="0" fontId="8" fillId="2" borderId="7" xfId="5" applyFont="1" applyFill="1" applyBorder="1" applyAlignment="1" applyProtection="1">
      <alignment horizontal="center" vertical="center"/>
      <protection locked="0"/>
    </xf>
    <xf numFmtId="0" fontId="8" fillId="2" borderId="6" xfId="5" applyFont="1" applyFill="1" applyBorder="1" applyAlignment="1" applyProtection="1">
      <alignment horizontal="center" vertical="center"/>
      <protection locked="0"/>
    </xf>
    <xf numFmtId="0" fontId="8" fillId="2" borderId="39" xfId="4" applyFont="1" applyFill="1" applyBorder="1" applyAlignment="1">
      <alignment horizontal="left" vertical="center"/>
    </xf>
    <xf numFmtId="0" fontId="8" fillId="2" borderId="38" xfId="4" applyFont="1" applyFill="1" applyBorder="1" applyAlignment="1">
      <alignment horizontal="left" vertical="center"/>
    </xf>
    <xf numFmtId="0" fontId="8" fillId="2" borderId="37" xfId="5" applyFont="1" applyFill="1" applyBorder="1" applyAlignment="1" applyProtection="1">
      <alignment horizontal="center" vertical="center"/>
      <protection locked="0"/>
    </xf>
    <xf numFmtId="0" fontId="8" fillId="2" borderId="36" xfId="5" applyFont="1" applyFill="1" applyBorder="1" applyAlignment="1" applyProtection="1">
      <alignment horizontal="center" vertical="center"/>
      <protection locked="0"/>
    </xf>
    <xf numFmtId="0" fontId="11" fillId="2" borderId="40" xfId="4" applyFont="1" applyFill="1" applyBorder="1" applyAlignment="1">
      <alignment horizontal="center" vertical="center" textRotation="90" wrapText="1"/>
    </xf>
    <xf numFmtId="0" fontId="11" fillId="2" borderId="39" xfId="4" applyFont="1" applyFill="1" applyBorder="1" applyAlignment="1">
      <alignment horizontal="center" vertical="center" textRotation="90" wrapText="1"/>
    </xf>
    <xf numFmtId="0" fontId="11" fillId="2" borderId="38" xfId="4" applyFont="1" applyFill="1" applyBorder="1" applyAlignment="1">
      <alignment horizontal="center" vertical="center" textRotation="90" wrapText="1"/>
    </xf>
    <xf numFmtId="0" fontId="11" fillId="2" borderId="22" xfId="4" applyFont="1" applyFill="1" applyBorder="1" applyAlignment="1">
      <alignment horizontal="center" vertical="center" textRotation="90" wrapText="1"/>
    </xf>
    <xf numFmtId="0" fontId="11" fillId="2" borderId="21" xfId="4" applyFont="1" applyFill="1" applyBorder="1" applyAlignment="1">
      <alignment horizontal="center" vertical="center" textRotation="90" wrapText="1"/>
    </xf>
    <xf numFmtId="0" fontId="11" fillId="2" borderId="20" xfId="4" applyFont="1" applyFill="1" applyBorder="1" applyAlignment="1">
      <alignment horizontal="center" vertical="center" textRotation="90" wrapText="1"/>
    </xf>
    <xf numFmtId="49" fontId="8" fillId="2" borderId="7" xfId="5" applyNumberFormat="1" applyFont="1" applyFill="1" applyBorder="1" applyAlignment="1" applyProtection="1">
      <alignment vertical="center"/>
      <protection locked="0"/>
    </xf>
    <xf numFmtId="49" fontId="8" fillId="2" borderId="9" xfId="5" applyNumberFormat="1" applyFont="1" applyFill="1" applyBorder="1" applyAlignment="1" applyProtection="1">
      <alignment vertical="center"/>
      <protection locked="0"/>
    </xf>
    <xf numFmtId="49" fontId="8" fillId="2" borderId="34" xfId="5" applyNumberFormat="1" applyFont="1" applyFill="1" applyBorder="1" applyAlignment="1" applyProtection="1">
      <alignment horizontal="center" vertical="center"/>
      <protection locked="0"/>
    </xf>
    <xf numFmtId="49" fontId="8" fillId="2" borderId="33" xfId="5" applyNumberFormat="1" applyFont="1" applyFill="1" applyBorder="1" applyAlignment="1" applyProtection="1">
      <alignment horizontal="center" vertical="center"/>
      <protection locked="0"/>
    </xf>
    <xf numFmtId="49" fontId="8" fillId="2" borderId="7" xfId="5" applyNumberFormat="1" applyFont="1" applyFill="1" applyBorder="1" applyAlignment="1" applyProtection="1">
      <alignment horizontal="center" vertical="center"/>
      <protection locked="0"/>
    </xf>
    <xf numFmtId="49" fontId="8" fillId="2" borderId="6" xfId="5" applyNumberFormat="1" applyFont="1" applyFill="1" applyBorder="1" applyAlignment="1" applyProtection="1">
      <alignment horizontal="center" vertical="center"/>
      <protection locked="0"/>
    </xf>
    <xf numFmtId="0" fontId="8" fillId="2" borderId="7" xfId="4" applyFont="1" applyFill="1" applyBorder="1" applyAlignment="1" applyProtection="1">
      <alignment horizontal="left" vertical="center"/>
      <protection locked="0"/>
    </xf>
    <xf numFmtId="0" fontId="8" fillId="2" borderId="9" xfId="4" applyFont="1" applyFill="1" applyBorder="1" applyAlignment="1" applyProtection="1">
      <alignment horizontal="left" vertical="center"/>
      <protection locked="0"/>
    </xf>
    <xf numFmtId="0" fontId="15" fillId="2" borderId="24" xfId="4" applyFont="1" applyFill="1" applyBorder="1" applyAlignment="1">
      <alignment horizontal="center" vertical="center" wrapText="1"/>
    </xf>
    <xf numFmtId="0" fontId="15" fillId="2" borderId="0" xfId="4" applyFont="1" applyFill="1" applyAlignment="1">
      <alignment horizontal="center" vertical="center" wrapText="1"/>
    </xf>
    <xf numFmtId="0" fontId="15" fillId="2" borderId="23" xfId="4" applyFont="1" applyFill="1" applyBorder="1" applyAlignment="1">
      <alignment horizontal="center" vertical="center" wrapText="1"/>
    </xf>
    <xf numFmtId="0" fontId="15" fillId="2" borderId="22" xfId="4" applyFont="1" applyFill="1" applyBorder="1" applyAlignment="1">
      <alignment horizontal="center" vertical="center" wrapText="1"/>
    </xf>
    <xf numFmtId="0" fontId="15" fillId="2" borderId="21" xfId="4" applyFont="1" applyFill="1" applyBorder="1" applyAlignment="1">
      <alignment horizontal="center" vertical="center" wrapText="1"/>
    </xf>
    <xf numFmtId="0" fontId="15" fillId="2" borderId="20" xfId="4" applyFont="1" applyFill="1" applyBorder="1" applyAlignment="1">
      <alignment horizontal="center" vertical="center" wrapText="1"/>
    </xf>
    <xf numFmtId="0" fontId="8" fillId="2" borderId="0" xfId="4" applyFont="1" applyFill="1" applyAlignment="1">
      <alignment horizontal="left" vertical="center"/>
    </xf>
    <xf numFmtId="0" fontId="8" fillId="2" borderId="23" xfId="4" applyFont="1" applyFill="1" applyBorder="1" applyAlignment="1">
      <alignment horizontal="left" vertical="center"/>
    </xf>
    <xf numFmtId="1" fontId="8" fillId="2" borderId="34" xfId="5" applyNumberFormat="1" applyFont="1" applyFill="1" applyBorder="1" applyAlignment="1" applyProtection="1">
      <alignment horizontal="center" vertical="center"/>
      <protection locked="0"/>
    </xf>
    <xf numFmtId="1" fontId="8" fillId="2" borderId="33" xfId="5" applyNumberFormat="1" applyFont="1" applyFill="1" applyBorder="1" applyAlignment="1" applyProtection="1">
      <alignment horizontal="center" vertical="center"/>
      <protection locked="0"/>
    </xf>
    <xf numFmtId="0" fontId="8" fillId="2" borderId="40" xfId="5" applyFont="1" applyFill="1" applyBorder="1" applyAlignment="1" applyProtection="1">
      <alignment horizontal="center" vertical="center" textRotation="90" shrinkToFit="1"/>
      <protection locked="0"/>
    </xf>
    <xf numFmtId="0" fontId="8" fillId="2" borderId="39" xfId="5" applyFont="1" applyFill="1" applyBorder="1" applyAlignment="1" applyProtection="1">
      <alignment horizontal="center" vertical="center" textRotation="90" shrinkToFit="1"/>
      <protection locked="0"/>
    </xf>
    <xf numFmtId="0" fontId="8" fillId="2" borderId="38" xfId="5" applyFont="1" applyFill="1" applyBorder="1" applyAlignment="1" applyProtection="1">
      <alignment horizontal="center" vertical="center" textRotation="90" shrinkToFit="1"/>
      <protection locked="0"/>
    </xf>
    <xf numFmtId="0" fontId="8" fillId="2" borderId="24" xfId="5" applyFont="1" applyFill="1" applyBorder="1" applyAlignment="1" applyProtection="1">
      <alignment horizontal="center" vertical="center" textRotation="90" shrinkToFit="1"/>
      <protection locked="0"/>
    </xf>
    <xf numFmtId="0" fontId="8" fillId="2" borderId="0" xfId="5" applyFont="1" applyFill="1" applyAlignment="1" applyProtection="1">
      <alignment horizontal="center" vertical="center" textRotation="90" shrinkToFit="1"/>
      <protection locked="0"/>
    </xf>
    <xf numFmtId="0" fontId="8" fillId="2" borderId="23" xfId="5" applyFont="1" applyFill="1" applyBorder="1" applyAlignment="1" applyProtection="1">
      <alignment horizontal="center" vertical="center" textRotation="90" shrinkToFit="1"/>
      <protection locked="0"/>
    </xf>
    <xf numFmtId="0" fontId="8" fillId="2" borderId="22" xfId="5" applyFont="1" applyFill="1" applyBorder="1" applyAlignment="1" applyProtection="1">
      <alignment horizontal="center" vertical="center" textRotation="90" shrinkToFit="1"/>
      <protection locked="0"/>
    </xf>
    <xf numFmtId="0" fontId="8" fillId="2" borderId="21" xfId="5" applyFont="1" applyFill="1" applyBorder="1" applyAlignment="1" applyProtection="1">
      <alignment horizontal="center" vertical="center" textRotation="90" shrinkToFit="1"/>
      <protection locked="0"/>
    </xf>
    <xf numFmtId="0" fontId="8" fillId="2" borderId="20" xfId="5" applyFont="1" applyFill="1" applyBorder="1" applyAlignment="1" applyProtection="1">
      <alignment horizontal="center" vertical="center" textRotation="90" shrinkToFit="1"/>
      <protection locked="0"/>
    </xf>
    <xf numFmtId="0" fontId="8" fillId="2" borderId="0" xfId="5" applyFont="1" applyFill="1" applyAlignment="1" applyProtection="1">
      <alignment horizontal="left" vertical="center" wrapText="1"/>
      <protection locked="0"/>
    </xf>
    <xf numFmtId="0" fontId="8" fillId="2" borderId="23" xfId="5" applyFont="1" applyFill="1" applyBorder="1" applyAlignment="1" applyProtection="1">
      <alignment horizontal="left" vertical="center" wrapText="1"/>
      <protection locked="0"/>
    </xf>
    <xf numFmtId="0" fontId="8" fillId="2" borderId="11" xfId="5" applyFont="1" applyFill="1" applyBorder="1" applyAlignment="1" applyProtection="1">
      <alignment horizontal="left" vertical="center" wrapText="1"/>
      <protection locked="0"/>
    </xf>
    <xf numFmtId="0" fontId="8" fillId="2" borderId="13" xfId="5" applyFont="1" applyFill="1" applyBorder="1" applyAlignment="1" applyProtection="1">
      <alignment horizontal="left" vertical="center" wrapText="1"/>
      <protection locked="0"/>
    </xf>
    <xf numFmtId="49" fontId="13" fillId="2" borderId="34" xfId="5" applyNumberFormat="1" applyFont="1" applyFill="1" applyBorder="1" applyAlignment="1" applyProtection="1">
      <alignment horizontal="center" vertical="center"/>
      <protection locked="0"/>
    </xf>
    <xf numFmtId="0" fontId="8" fillId="2" borderId="31" xfId="4" applyFont="1" applyFill="1" applyBorder="1" applyAlignment="1">
      <alignment horizontal="center" vertical="center"/>
    </xf>
    <xf numFmtId="49" fontId="8" fillId="2" borderId="30" xfId="5" applyNumberFormat="1" applyFont="1" applyFill="1" applyBorder="1" applyAlignment="1" applyProtection="1">
      <alignment horizontal="center" vertical="center"/>
      <protection locked="0"/>
    </xf>
    <xf numFmtId="49" fontId="8" fillId="2" borderId="29" xfId="5" applyNumberFormat="1" applyFont="1" applyFill="1" applyBorder="1" applyAlignment="1" applyProtection="1">
      <alignment horizontal="center" vertical="center"/>
      <protection locked="0"/>
    </xf>
    <xf numFmtId="0" fontId="8" fillId="2" borderId="21" xfId="4" applyFont="1" applyFill="1" applyBorder="1" applyAlignment="1">
      <alignment horizontal="left" vertical="center"/>
    </xf>
    <xf numFmtId="0" fontId="8" fillId="2" borderId="20" xfId="4" applyFont="1" applyFill="1" applyBorder="1" applyAlignment="1">
      <alignment horizontal="left" vertical="center"/>
    </xf>
    <xf numFmtId="0" fontId="8" fillId="2" borderId="27" xfId="4" applyFont="1" applyFill="1" applyBorder="1" applyAlignment="1">
      <alignment horizontal="center" vertical="center"/>
    </xf>
    <xf numFmtId="0" fontId="8" fillId="2" borderId="26" xfId="4" applyFont="1" applyFill="1" applyBorder="1" applyAlignment="1">
      <alignment horizontal="center" vertical="center"/>
    </xf>
    <xf numFmtId="0" fontId="11" fillId="2" borderId="24" xfId="4" applyFont="1" applyFill="1" applyBorder="1" applyAlignment="1" applyProtection="1">
      <alignment horizontal="center" vertical="center" textRotation="90"/>
      <protection locked="0"/>
    </xf>
    <xf numFmtId="0" fontId="11" fillId="2" borderId="0" xfId="4" applyFont="1" applyFill="1" applyAlignment="1" applyProtection="1">
      <alignment horizontal="center" vertical="center" textRotation="90"/>
      <protection locked="0"/>
    </xf>
    <xf numFmtId="0" fontId="11" fillId="2" borderId="23" xfId="4" applyFont="1" applyFill="1" applyBorder="1" applyAlignment="1" applyProtection="1">
      <alignment horizontal="center" vertical="center" textRotation="90"/>
      <protection locked="0"/>
    </xf>
    <xf numFmtId="0" fontId="11" fillId="2" borderId="22" xfId="4" applyFont="1" applyFill="1" applyBorder="1" applyAlignment="1" applyProtection="1">
      <alignment horizontal="center" vertical="center" textRotation="90"/>
      <protection locked="0"/>
    </xf>
    <xf numFmtId="0" fontId="11" fillId="2" borderId="21" xfId="4" applyFont="1" applyFill="1" applyBorder="1" applyAlignment="1" applyProtection="1">
      <alignment horizontal="center" vertical="center" textRotation="90"/>
      <protection locked="0"/>
    </xf>
    <xf numFmtId="0" fontId="11" fillId="2" borderId="20" xfId="4" applyFont="1" applyFill="1" applyBorder="1" applyAlignment="1" applyProtection="1">
      <alignment horizontal="center" vertical="center" textRotation="90"/>
      <protection locked="0"/>
    </xf>
    <xf numFmtId="49" fontId="8" fillId="2" borderId="19" xfId="3" applyNumberFormat="1" applyFont="1" applyFill="1" applyBorder="1" applyAlignment="1">
      <alignment horizontal="center" vertical="center"/>
    </xf>
    <xf numFmtId="49" fontId="8" fillId="2" borderId="16" xfId="3" applyNumberFormat="1" applyFont="1" applyFill="1" applyBorder="1" applyAlignment="1">
      <alignment horizontal="center" vertical="center"/>
    </xf>
    <xf numFmtId="49" fontId="8" fillId="2" borderId="18" xfId="3" applyNumberFormat="1" applyFont="1" applyFill="1" applyBorder="1" applyAlignment="1">
      <alignment horizontal="center" vertical="center"/>
    </xf>
    <xf numFmtId="0" fontId="8" fillId="2" borderId="17" xfId="4" applyFont="1" applyFill="1" applyBorder="1" applyAlignment="1" applyProtection="1">
      <alignment horizontal="center" vertical="center"/>
      <protection locked="0"/>
    </xf>
    <xf numFmtId="0" fontId="8" fillId="2" borderId="16" xfId="4" applyFont="1" applyFill="1" applyBorder="1" applyAlignment="1" applyProtection="1">
      <alignment horizontal="center" vertical="center"/>
      <protection locked="0"/>
    </xf>
    <xf numFmtId="0" fontId="8" fillId="2" borderId="18" xfId="4" applyFont="1" applyFill="1" applyBorder="1" applyAlignment="1" applyProtection="1">
      <alignment horizontal="center" vertical="center"/>
      <protection locked="0"/>
    </xf>
    <xf numFmtId="0" fontId="8" fillId="2" borderId="15" xfId="4" applyFont="1" applyFill="1" applyBorder="1" applyAlignment="1" applyProtection="1">
      <alignment horizontal="center" vertical="center"/>
      <protection locked="0"/>
    </xf>
    <xf numFmtId="0" fontId="8" fillId="2" borderId="14" xfId="7" applyFont="1" applyFill="1" applyBorder="1" applyAlignment="1">
      <alignment horizontal="center" vertical="center"/>
    </xf>
    <xf numFmtId="0" fontId="8" fillId="2" borderId="11" xfId="7" applyFont="1" applyFill="1" applyBorder="1" applyAlignment="1">
      <alignment horizontal="center" vertical="center"/>
    </xf>
    <xf numFmtId="0" fontId="8" fillId="2" borderId="13" xfId="7" applyFont="1" applyFill="1" applyBorder="1" applyAlignment="1">
      <alignment horizontal="center" vertical="center"/>
    </xf>
    <xf numFmtId="0" fontId="8" fillId="2" borderId="8" xfId="4" applyFont="1" applyFill="1" applyBorder="1" applyAlignment="1" applyProtection="1">
      <alignment horizontal="center" vertical="center"/>
      <protection locked="0"/>
    </xf>
    <xf numFmtId="0" fontId="8" fillId="2" borderId="7" xfId="4" applyFont="1" applyFill="1" applyBorder="1" applyAlignment="1" applyProtection="1">
      <alignment horizontal="center" vertical="center"/>
      <protection locked="0"/>
    </xf>
    <xf numFmtId="0" fontId="8" fillId="2" borderId="9" xfId="4" applyFont="1" applyFill="1" applyBorder="1" applyAlignment="1" applyProtection="1">
      <alignment horizontal="center" vertical="center"/>
      <protection locked="0"/>
    </xf>
    <xf numFmtId="0" fontId="8" fillId="2" borderId="6" xfId="4" applyFont="1" applyFill="1" applyBorder="1" applyAlignment="1" applyProtection="1">
      <alignment horizontal="center" vertical="center"/>
      <protection locked="0"/>
    </xf>
    <xf numFmtId="0" fontId="8" fillId="2" borderId="10" xfId="7" applyFont="1" applyFill="1" applyBorder="1" applyAlignment="1">
      <alignment horizontal="center" vertical="center"/>
    </xf>
    <xf numFmtId="0" fontId="8" fillId="2" borderId="7" xfId="7" applyFont="1" applyFill="1" applyBorder="1" applyAlignment="1">
      <alignment horizontal="center" vertical="center"/>
    </xf>
    <xf numFmtId="0" fontId="8" fillId="2" borderId="9" xfId="7" applyFont="1" applyFill="1" applyBorder="1" applyAlignment="1">
      <alignment horizontal="center" vertical="center"/>
    </xf>
    <xf numFmtId="14" fontId="8" fillId="2" borderId="8" xfId="3" applyNumberFormat="1" applyFont="1" applyFill="1" applyBorder="1" applyAlignment="1">
      <alignment horizontal="center" vertical="center"/>
    </xf>
    <xf numFmtId="14" fontId="8" fillId="2" borderId="7" xfId="3" applyNumberFormat="1" applyFont="1" applyFill="1" applyBorder="1" applyAlignment="1">
      <alignment horizontal="center" vertical="center"/>
    </xf>
    <xf numFmtId="14" fontId="8" fillId="2" borderId="9" xfId="3" applyNumberFormat="1" applyFont="1" applyFill="1" applyBorder="1" applyAlignment="1">
      <alignment horizontal="center" vertical="center"/>
    </xf>
    <xf numFmtId="49" fontId="8" fillId="2" borderId="8" xfId="3" applyNumberFormat="1" applyFont="1" applyFill="1" applyBorder="1" applyAlignment="1">
      <alignment horizontal="center" vertical="center"/>
    </xf>
    <xf numFmtId="49" fontId="8" fillId="2" borderId="7" xfId="3" applyNumberFormat="1" applyFont="1" applyFill="1" applyBorder="1" applyAlignment="1">
      <alignment horizontal="center" vertical="center"/>
    </xf>
    <xf numFmtId="49" fontId="8" fillId="2" borderId="9" xfId="3" applyNumberFormat="1" applyFont="1" applyFill="1" applyBorder="1" applyAlignment="1">
      <alignment horizontal="center" vertical="center"/>
    </xf>
    <xf numFmtId="0" fontId="8" fillId="2" borderId="5" xfId="7" applyFont="1" applyFill="1" applyBorder="1" applyAlignment="1">
      <alignment horizontal="center" vertical="center"/>
    </xf>
    <xf numFmtId="0" fontId="8" fillId="2" borderId="2" xfId="7" applyFont="1" applyFill="1" applyBorder="1" applyAlignment="1">
      <alignment horizontal="center" vertical="center"/>
    </xf>
    <xf numFmtId="0" fontId="8" fillId="2" borderId="4" xfId="7" applyFont="1" applyFill="1" applyBorder="1" applyAlignment="1">
      <alignment horizontal="center" vertical="center"/>
    </xf>
    <xf numFmtId="49" fontId="8" fillId="2" borderId="3" xfId="3" applyNumberFormat="1" applyFont="1" applyFill="1" applyBorder="1" applyAlignment="1">
      <alignment horizontal="center" vertical="center"/>
    </xf>
    <xf numFmtId="49" fontId="8" fillId="2" borderId="2" xfId="3" applyNumberFormat="1" applyFont="1" applyFill="1" applyBorder="1" applyAlignment="1">
      <alignment horizontal="center" vertical="center"/>
    </xf>
    <xf numFmtId="49" fontId="8" fillId="2" borderId="4" xfId="3" applyNumberFormat="1" applyFont="1" applyFill="1" applyBorder="1" applyAlignment="1">
      <alignment horizontal="center" vertical="center"/>
    </xf>
    <xf numFmtId="0" fontId="8" fillId="2" borderId="3" xfId="4" applyFont="1" applyFill="1" applyBorder="1" applyAlignment="1" applyProtection="1">
      <alignment horizontal="center" vertical="center"/>
      <protection locked="0"/>
    </xf>
    <xf numFmtId="0" fontId="8" fillId="2" borderId="2" xfId="4" applyFont="1" applyFill="1" applyBorder="1" applyAlignment="1" applyProtection="1">
      <alignment horizontal="center" vertical="center"/>
      <protection locked="0"/>
    </xf>
    <xf numFmtId="0" fontId="8" fillId="2" borderId="4" xfId="4" applyFont="1" applyFill="1" applyBorder="1" applyAlignment="1" applyProtection="1">
      <alignment horizontal="center" vertical="center"/>
      <protection locked="0"/>
    </xf>
    <xf numFmtId="49" fontId="8" fillId="2" borderId="1" xfId="3" applyNumberFormat="1" applyFont="1" applyFill="1" applyBorder="1" applyAlignment="1">
      <alignment horizontal="center" vertical="center"/>
    </xf>
    <xf numFmtId="0" fontId="27" fillId="0" borderId="11" xfId="8" applyFont="1" applyBorder="1" applyAlignment="1">
      <alignment horizontal="left" vertical="center"/>
    </xf>
    <xf numFmtId="0" fontId="27" fillId="0" borderId="0" xfId="8" applyFont="1" applyAlignment="1">
      <alignment horizontal="left" vertical="center"/>
    </xf>
    <xf numFmtId="0" fontId="27" fillId="0" borderId="0" xfId="8" applyFont="1" applyAlignment="1">
      <alignment horizontal="left" vertical="center"/>
    </xf>
    <xf numFmtId="0" fontId="26" fillId="0" borderId="0" xfId="8" applyAlignment="1">
      <alignment vertical="center"/>
    </xf>
    <xf numFmtId="0" fontId="29" fillId="3" borderId="34" xfId="8" applyFont="1" applyFill="1" applyBorder="1" applyAlignment="1">
      <alignment horizontal="center" vertical="center" shrinkToFit="1"/>
    </xf>
    <xf numFmtId="0" fontId="29" fillId="3" borderId="34" xfId="8" applyFont="1" applyFill="1" applyBorder="1" applyAlignment="1">
      <alignment horizontal="center" vertical="center"/>
    </xf>
    <xf numFmtId="0" fontId="29" fillId="3" borderId="8" xfId="8" applyFont="1" applyFill="1" applyBorder="1" applyAlignment="1">
      <alignment horizontal="center" vertical="center"/>
    </xf>
    <xf numFmtId="0" fontId="29" fillId="3" borderId="7" xfId="8" applyFont="1" applyFill="1" applyBorder="1" applyAlignment="1">
      <alignment horizontal="center" vertical="center"/>
    </xf>
    <xf numFmtId="0" fontId="29" fillId="3" borderId="9" xfId="8" applyFont="1" applyFill="1" applyBorder="1" applyAlignment="1">
      <alignment horizontal="center" vertical="center"/>
    </xf>
    <xf numFmtId="0" fontId="29" fillId="3" borderId="34" xfId="8" applyFont="1" applyFill="1" applyBorder="1" applyAlignment="1">
      <alignment horizontal="center" vertical="center"/>
    </xf>
    <xf numFmtId="0" fontId="29" fillId="3" borderId="34" xfId="8" applyFont="1" applyFill="1" applyBorder="1" applyAlignment="1">
      <alignment horizontal="center" vertical="center" shrinkToFit="1"/>
    </xf>
    <xf numFmtId="0" fontId="29" fillId="3" borderId="34" xfId="8" applyFont="1" applyFill="1" applyBorder="1" applyAlignment="1">
      <alignment horizontal="center" shrinkToFit="1"/>
    </xf>
    <xf numFmtId="0" fontId="29" fillId="3" borderId="34" xfId="8" applyFont="1" applyFill="1" applyBorder="1" applyAlignment="1">
      <alignment horizontal="center" vertical="center" wrapText="1" shrinkToFit="1"/>
    </xf>
    <xf numFmtId="0" fontId="26" fillId="4" borderId="34" xfId="8" applyFill="1" applyBorder="1" applyAlignment="1">
      <alignment horizontal="left" vertical="center"/>
    </xf>
    <xf numFmtId="0" fontId="26" fillId="0" borderId="34" xfId="8" applyBorder="1" applyAlignment="1">
      <alignment horizontal="center" vertical="center" shrinkToFit="1"/>
    </xf>
    <xf numFmtId="0" fontId="30" fillId="5" borderId="34" xfId="9" applyFont="1" applyFill="1" applyBorder="1" applyAlignment="1">
      <alignment horizontal="center" vertical="center" shrinkToFit="1"/>
    </xf>
    <xf numFmtId="176" fontId="26" fillId="5" borderId="34" xfId="8" applyNumberFormat="1" applyFill="1" applyBorder="1" applyAlignment="1">
      <alignment horizontal="left" vertical="center"/>
    </xf>
    <xf numFmtId="176" fontId="26" fillId="0" borderId="34" xfId="8" applyNumberFormat="1" applyBorder="1" applyAlignment="1">
      <alignment horizontal="center" vertical="center"/>
    </xf>
    <xf numFmtId="176" fontId="26" fillId="0" borderId="34" xfId="8" applyNumberFormat="1" applyBorder="1" applyAlignment="1">
      <alignment horizontal="center" vertical="center" shrinkToFit="1"/>
    </xf>
    <xf numFmtId="0" fontId="30" fillId="6" borderId="34" xfId="9" applyFont="1" applyFill="1" applyBorder="1" applyAlignment="1">
      <alignment horizontal="center" vertical="center" shrinkToFit="1"/>
    </xf>
    <xf numFmtId="0" fontId="26" fillId="4" borderId="34" xfId="8" applyFill="1" applyBorder="1" applyAlignment="1">
      <alignment vertical="center"/>
    </xf>
    <xf numFmtId="0" fontId="26" fillId="0" borderId="34" xfId="8" applyBorder="1" applyAlignment="1">
      <alignment horizontal="center" vertical="center"/>
    </xf>
    <xf numFmtId="0" fontId="26" fillId="5" borderId="34" xfId="8" applyFill="1" applyBorder="1" applyAlignment="1">
      <alignment vertical="center"/>
    </xf>
    <xf numFmtId="0" fontId="30" fillId="6" borderId="34" xfId="9" applyFont="1" applyFill="1" applyBorder="1" applyAlignment="1">
      <alignment horizontal="center" vertical="center"/>
    </xf>
    <xf numFmtId="0" fontId="29" fillId="3" borderId="46" xfId="8" applyFont="1" applyFill="1" applyBorder="1" applyAlignment="1">
      <alignment horizontal="center" vertical="center"/>
    </xf>
    <xf numFmtId="0" fontId="29" fillId="3" borderId="55" xfId="8" applyFont="1" applyFill="1" applyBorder="1" applyAlignment="1">
      <alignment horizontal="center" vertical="center"/>
    </xf>
    <xf numFmtId="0" fontId="29" fillId="3" borderId="32" xfId="8" applyFont="1" applyFill="1" applyBorder="1" applyAlignment="1">
      <alignment horizontal="center" vertical="center"/>
    </xf>
    <xf numFmtId="0" fontId="30" fillId="5" borderId="34" xfId="9" applyFont="1" applyFill="1" applyBorder="1" applyAlignment="1">
      <alignment horizontal="center" vertical="center"/>
    </xf>
    <xf numFmtId="0" fontId="26" fillId="5" borderId="34" xfId="8" applyFill="1" applyBorder="1" applyAlignment="1">
      <alignment horizontal="center" vertical="center"/>
    </xf>
    <xf numFmtId="0" fontId="29" fillId="0" borderId="0" xfId="8" applyFont="1" applyAlignment="1">
      <alignment vertical="center"/>
    </xf>
    <xf numFmtId="0" fontId="26" fillId="0" borderId="0" xfId="8" applyAlignment="1">
      <alignment horizontal="center" vertical="center"/>
    </xf>
    <xf numFmtId="0" fontId="29" fillId="7" borderId="34" xfId="8" applyFont="1" applyFill="1" applyBorder="1" applyAlignment="1">
      <alignment horizontal="center" vertical="center"/>
    </xf>
    <xf numFmtId="0" fontId="29" fillId="8" borderId="34" xfId="8" applyFont="1" applyFill="1" applyBorder="1" applyAlignment="1">
      <alignment vertical="center"/>
    </xf>
    <xf numFmtId="0" fontId="31" fillId="0" borderId="34" xfId="8" applyFont="1" applyBorder="1" applyAlignment="1">
      <alignment horizontal="center" vertical="center"/>
    </xf>
    <xf numFmtId="177" fontId="26" fillId="0" borderId="34" xfId="8" applyNumberFormat="1" applyBorder="1" applyAlignment="1">
      <alignment horizontal="center" vertical="center" shrinkToFit="1"/>
    </xf>
    <xf numFmtId="0" fontId="31" fillId="0" borderId="34" xfId="8" applyFont="1" applyBorder="1" applyAlignment="1">
      <alignment horizontal="center" vertical="center" shrinkToFit="1"/>
    </xf>
    <xf numFmtId="0" fontId="31" fillId="2" borderId="34" xfId="8" applyFont="1" applyFill="1" applyBorder="1" applyAlignment="1">
      <alignment horizontal="center" vertical="center" shrinkToFit="1"/>
    </xf>
    <xf numFmtId="0" fontId="31" fillId="0" borderId="34" xfId="8" applyFont="1" applyBorder="1" applyAlignment="1">
      <alignment vertical="center"/>
    </xf>
    <xf numFmtId="0" fontId="26" fillId="0" borderId="0" xfId="8" applyAlignment="1">
      <alignment horizontal="center" vertical="center" shrinkToFit="1"/>
    </xf>
    <xf numFmtId="177" fontId="31" fillId="0" borderId="34" xfId="8" applyNumberFormat="1" applyFont="1" applyBorder="1" applyAlignment="1">
      <alignment horizontal="center" vertical="center"/>
    </xf>
    <xf numFmtId="177" fontId="26" fillId="0" borderId="0" xfId="8" applyNumberFormat="1" applyAlignment="1">
      <alignment horizontal="center" vertical="center" shrinkToFit="1"/>
    </xf>
    <xf numFmtId="0" fontId="16" fillId="2" borderId="34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1" xfId="0" applyFont="1" applyFill="1" applyBorder="1">
      <alignment vertical="center"/>
    </xf>
    <xf numFmtId="0" fontId="6" fillId="2" borderId="0" xfId="0" applyFont="1" applyFill="1">
      <alignment vertical="center"/>
    </xf>
    <xf numFmtId="0" fontId="8" fillId="2" borderId="17" xfId="0" applyFont="1" applyFill="1" applyBorder="1" applyAlignment="1" applyProtection="1">
      <alignment horizontal="center" vertical="center"/>
      <protection locked="0"/>
    </xf>
    <xf numFmtId="0" fontId="8" fillId="2" borderId="16" xfId="0" applyFont="1" applyFill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42" xfId="0" applyFont="1" applyFill="1" applyBorder="1" applyAlignment="1">
      <alignment horizontal="center" vertical="center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 applyProtection="1">
      <alignment horizontal="center" vertical="center"/>
      <protection locked="0"/>
    </xf>
    <xf numFmtId="0" fontId="8" fillId="2" borderId="45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7" xfId="0" quotePrefix="1" applyFont="1" applyFill="1" applyBorder="1" applyAlignment="1">
      <alignment horizontal="center" vertical="center"/>
    </xf>
    <xf numFmtId="0" fontId="8" fillId="2" borderId="16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</cellXfs>
  <cellStyles count="10">
    <cellStyle name="Normal_CONTROL VALVES" xfId="6" xr:uid="{56C2C7AF-2BDC-AF46-813A-D991D6336A57}"/>
    <cellStyle name="표준" xfId="0" builtinId="0"/>
    <cellStyle name="표준 10" xfId="9" xr:uid="{DC37A0FA-7BA8-4849-9861-DBB02004BA30}"/>
    <cellStyle name="표준 2" xfId="1" xr:uid="{9E2A4C67-3E6B-5342-B1D7-2970AAD57639}"/>
    <cellStyle name="표준 2 2" xfId="2" xr:uid="{32567968-F177-2F4C-9544-6FAD55177022}"/>
    <cellStyle name="표준 3" xfId="7" xr:uid="{E0A722B0-2501-45AA-BDA0-5899612BDA29}"/>
    <cellStyle name="표준 5" xfId="8" xr:uid="{4BFF5CB4-B021-40D2-9525-13BA342069EF}"/>
    <cellStyle name="표준_Rsm_ds" xfId="4" xr:uid="{C80D96BF-2E1A-3542-BAA0-A48D6C9C6F6B}"/>
    <cellStyle name="표준_Sheet1" xfId="5" xr:uid="{E4E1483E-710B-654F-A101-AD4BC9E5D965}"/>
    <cellStyle name="표준_Sheet1_1" xfId="3" xr:uid="{DBD5B88F-A80E-9D4A-BD40-864458CDD5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33652</xdr:colOff>
      <xdr:row>0</xdr:row>
      <xdr:rowOff>231333</xdr:rowOff>
    </xdr:from>
    <xdr:ext cx="2035078" cy="934079"/>
    <xdr:pic>
      <xdr:nvPicPr>
        <xdr:cNvPr id="2" name="그림 16" descr="symbol-3.tif">
          <a:extLst>
            <a:ext uri="{FF2B5EF4-FFF2-40B4-BE49-F238E27FC236}">
              <a16:creationId xmlns:a16="http://schemas.microsoft.com/office/drawing/2014/main" id="{C05D6C81-A190-4542-97AA-1D5C7A91A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1052" y="212283"/>
          <a:ext cx="2035078" cy="934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4069-F806-4BBD-B5F8-D6C1011DD84E}">
  <dimension ref="A1:CT62"/>
  <sheetViews>
    <sheetView showGridLines="0" tabSelected="1" topLeftCell="BG1" zoomScale="85" zoomScaleNormal="85" workbookViewId="0">
      <selection activeCell="CN21" sqref="CN21"/>
    </sheetView>
  </sheetViews>
  <sheetFormatPr defaultRowHeight="16.5"/>
  <cols>
    <col min="1" max="6" width="1.21875" style="72" customWidth="1"/>
    <col min="7" max="7" width="0.33203125" style="72" customWidth="1"/>
    <col min="8" max="15" width="1.109375" style="72" customWidth="1"/>
    <col min="16" max="16" width="2" style="72" customWidth="1"/>
    <col min="17" max="17" width="0.33203125" style="72" customWidth="1"/>
    <col min="18" max="18" width="1.77734375" style="72" customWidth="1"/>
    <col min="19" max="19" width="2.88671875" style="72" customWidth="1"/>
    <col min="20" max="20" width="1.6640625" style="72" customWidth="1"/>
    <col min="21" max="45" width="1.109375" style="72" customWidth="1"/>
    <col min="46" max="51" width="1.21875" style="72" customWidth="1"/>
    <col min="52" max="52" width="0.33203125" style="72" customWidth="1"/>
    <col min="53" max="58" width="1.109375" style="72" customWidth="1"/>
    <col min="59" max="59" width="2.109375" style="72" customWidth="1"/>
    <col min="60" max="60" width="0.33203125" style="72" customWidth="1"/>
    <col min="61" max="61" width="1.109375" style="72" customWidth="1"/>
    <col min="62" max="62" width="0.33203125" style="72" customWidth="1"/>
    <col min="63" max="67" width="1.109375" style="72" customWidth="1"/>
    <col min="68" max="68" width="2" style="72" customWidth="1"/>
    <col min="69" max="88" width="1.109375" style="72" customWidth="1"/>
    <col min="89" max="89" width="8.88671875" style="71"/>
    <col min="90" max="90" width="2.33203125" style="1" customWidth="1"/>
    <col min="91" max="91" width="19.5546875" style="1" customWidth="1"/>
    <col min="92" max="92" width="13.88671875" style="1" customWidth="1"/>
    <col min="93" max="93" width="15.21875" style="1" customWidth="1"/>
    <col min="94" max="94" width="2.77734375" style="1" customWidth="1"/>
    <col min="95" max="95" width="2.88671875" style="2" customWidth="1"/>
    <col min="96" max="96" width="22.109375" style="1" bestFit="1" customWidth="1"/>
    <col min="97" max="97" width="18.77734375" style="1" customWidth="1"/>
    <col min="98" max="98" width="2.77734375" style="1" customWidth="1"/>
    <col min="99" max="16384" width="8.88671875" style="71"/>
  </cols>
  <sheetData>
    <row r="1" spans="1:98" ht="26.25" thickBot="1">
      <c r="A1" s="98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100"/>
      <c r="AA1" s="107" t="s">
        <v>151</v>
      </c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9"/>
      <c r="BX1" s="110" t="s">
        <v>150</v>
      </c>
      <c r="BY1" s="110"/>
      <c r="BZ1" s="110"/>
      <c r="CA1" s="110"/>
      <c r="CB1" s="110"/>
      <c r="CC1" s="111"/>
      <c r="CD1" s="110" t="s">
        <v>149</v>
      </c>
      <c r="CE1" s="110"/>
      <c r="CF1" s="110"/>
      <c r="CG1" s="110"/>
      <c r="CH1" s="110"/>
      <c r="CI1" s="110"/>
      <c r="CJ1" s="112"/>
      <c r="CK1" s="73"/>
      <c r="CL1" s="82" t="s">
        <v>148</v>
      </c>
      <c r="CM1" s="83"/>
      <c r="CN1" s="83"/>
      <c r="CO1" s="83"/>
      <c r="CP1" s="83"/>
      <c r="CQ1" s="83"/>
      <c r="CR1" s="83"/>
      <c r="CS1" s="83"/>
      <c r="CT1" s="84"/>
    </row>
    <row r="2" spans="1:98" ht="17.25" thickBot="1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3"/>
      <c r="AA2" s="29" t="s">
        <v>147</v>
      </c>
      <c r="AB2" s="29"/>
      <c r="AC2" s="29"/>
      <c r="AD2" s="29"/>
      <c r="AE2" s="29"/>
      <c r="AF2" s="29"/>
      <c r="AG2" s="29"/>
      <c r="AH2" s="28"/>
      <c r="AI2" s="49"/>
      <c r="AJ2" s="80">
        <v>155</v>
      </c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1"/>
      <c r="CK2" s="73"/>
      <c r="CL2" s="82" t="s">
        <v>146</v>
      </c>
      <c r="CM2" s="83"/>
      <c r="CN2" s="83"/>
      <c r="CO2" s="83"/>
      <c r="CP2" s="84"/>
      <c r="CQ2" s="82" t="s">
        <v>145</v>
      </c>
      <c r="CR2" s="83"/>
      <c r="CS2" s="83"/>
      <c r="CT2" s="84"/>
    </row>
    <row r="3" spans="1:98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3"/>
      <c r="AA3" s="29" t="s">
        <v>144</v>
      </c>
      <c r="AB3" s="29"/>
      <c r="AC3" s="29"/>
      <c r="AD3" s="29"/>
      <c r="AE3" s="29"/>
      <c r="AF3" s="29"/>
      <c r="AG3" s="29"/>
      <c r="AH3" s="28"/>
      <c r="AI3" s="31"/>
      <c r="AJ3" s="85">
        <v>1</v>
      </c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6"/>
      <c r="CK3" s="73"/>
      <c r="CL3" s="70"/>
      <c r="CM3" s="69"/>
      <c r="CN3" s="69"/>
      <c r="CO3" s="69"/>
      <c r="CP3" s="68"/>
      <c r="CQ3" s="77"/>
      <c r="CT3" s="76"/>
    </row>
    <row r="4" spans="1:98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3"/>
      <c r="AA4" s="85" t="s">
        <v>143</v>
      </c>
      <c r="AB4" s="85"/>
      <c r="AC4" s="85"/>
      <c r="AD4" s="85"/>
      <c r="AE4" s="85"/>
      <c r="AF4" s="85"/>
      <c r="AG4" s="85"/>
      <c r="AH4" s="87"/>
      <c r="AI4" s="31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6"/>
      <c r="CK4" s="73"/>
      <c r="CL4" s="48"/>
      <c r="CM4" s="79" t="s">
        <v>142</v>
      </c>
      <c r="CN4" s="349"/>
      <c r="CO4" s="350"/>
      <c r="CP4" s="41"/>
      <c r="CQ4" s="77"/>
      <c r="CR4" s="78" t="s">
        <v>141</v>
      </c>
      <c r="CS4" s="346"/>
      <c r="CT4" s="76"/>
    </row>
    <row r="5" spans="1:98" ht="16.5" customHeight="1">
      <c r="A5" s="101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3"/>
      <c r="AA5" s="85" t="s">
        <v>140</v>
      </c>
      <c r="AB5" s="85"/>
      <c r="AC5" s="85"/>
      <c r="AD5" s="85"/>
      <c r="AE5" s="85"/>
      <c r="AF5" s="85"/>
      <c r="AG5" s="85"/>
      <c r="AH5" s="87"/>
      <c r="AI5" s="31"/>
      <c r="AJ5" s="85">
        <v>3</v>
      </c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7"/>
      <c r="BO5" s="31" t="s">
        <v>139</v>
      </c>
      <c r="BP5" s="35"/>
      <c r="BQ5" s="31"/>
      <c r="BR5" s="32"/>
      <c r="BS5" s="32"/>
      <c r="BT5" s="32"/>
      <c r="BU5" s="32"/>
      <c r="BV5" s="32"/>
      <c r="BW5" s="35"/>
      <c r="BX5" s="95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7"/>
      <c r="CK5" s="73"/>
      <c r="CL5" s="48"/>
      <c r="CM5" s="59" t="s">
        <v>74</v>
      </c>
      <c r="CN5" s="351" t="s">
        <v>604</v>
      </c>
      <c r="CO5" s="352"/>
      <c r="CP5" s="41"/>
      <c r="CQ5" s="77"/>
      <c r="CR5" s="74" t="s">
        <v>74</v>
      </c>
      <c r="CS5" s="347" t="str">
        <f>IFERROR(
  IF(INDEX(ACC!F:F, MATCH(CS4, ACC!A:A, 0)) = "",
     "-",
     INDEX(ACC!F:F, MATCH(CS4, ACC!A:A, 0))),
  "-"
)</f>
        <v>-</v>
      </c>
      <c r="CT5" s="76"/>
    </row>
    <row r="6" spans="1:98" ht="17.25" thickBot="1">
      <c r="A6" s="104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6"/>
      <c r="AA6" s="88" t="s">
        <v>138</v>
      </c>
      <c r="AB6" s="88"/>
      <c r="AC6" s="88"/>
      <c r="AD6" s="88"/>
      <c r="AE6" s="88"/>
      <c r="AF6" s="88"/>
      <c r="AG6" s="88"/>
      <c r="AH6" s="89"/>
      <c r="AI6" s="27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1"/>
      <c r="BO6" s="27" t="s">
        <v>137</v>
      </c>
      <c r="BP6" s="66"/>
      <c r="BQ6" s="27"/>
      <c r="BR6" s="67"/>
      <c r="BS6" s="67"/>
      <c r="BT6" s="67"/>
      <c r="BU6" s="67"/>
      <c r="BV6" s="67"/>
      <c r="BW6" s="66"/>
      <c r="BX6" s="92">
        <v>4</v>
      </c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4"/>
      <c r="CK6" s="73"/>
      <c r="CL6" s="48"/>
      <c r="CM6" s="59" t="s">
        <v>43</v>
      </c>
      <c r="CN6" s="351" t="str">
        <f>IFERROR(
IF(INDEX(ACT!C:C, MATCH(CN4,ACT!B:B, 0))="", "-",
INDEX(ACT!C:C, MATCH(CN4,ACT!B:B, 0))), "-"
)</f>
        <v>-</v>
      </c>
      <c r="CO6" s="352"/>
      <c r="CP6" s="41"/>
      <c r="CQ6" s="77"/>
      <c r="CR6" s="74" t="s">
        <v>43</v>
      </c>
      <c r="CS6" s="347" t="str">
        <f>IFERROR(
  IF(INDEX(ACC!E:E, MATCH(CS4, ACC!A:A, 0)) = "",
     "-",
     INDEX(ACC!E:E, MATCH(CS4, ACC!A:A, 0))),
  "-"
)</f>
        <v>-</v>
      </c>
      <c r="CT6" s="76"/>
    </row>
    <row r="7" spans="1:98" ht="21" thickBot="1">
      <c r="A7" s="65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3"/>
      <c r="AB7" s="63"/>
      <c r="AC7" s="63"/>
      <c r="AD7" s="63"/>
      <c r="AE7" s="63"/>
      <c r="AF7" s="63"/>
      <c r="AG7" s="63"/>
      <c r="AH7" s="63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0"/>
      <c r="CK7" s="73"/>
      <c r="CL7" s="48"/>
      <c r="CM7" s="59" t="s">
        <v>85</v>
      </c>
      <c r="CN7" s="353" t="str" cm="1">
        <f t="array" ref="CN7">IFERROR(
IF(INDEX(ACT!M:M,MATCH(1,(ACT!H:H=CN18)*(ACT!I:I=CN17),0))="", "-",
INDEX(ACT!M:M,MATCH(1,(ACT!H:H=CN18)*(ACT!I:I=CN17),0))), "-"
)</f>
        <v>-</v>
      </c>
      <c r="CO7" s="354" t="str">
        <f>IFERROR(
IF(INDEX(ACT!F:F, MATCH(CN4,ACT!B:B, 0)) = "", "-",
INDEX(ACT!F:F, MATCH(CN4,ACT!B:B, 0))), "-"
)</f>
        <v>-</v>
      </c>
      <c r="CP7" s="41"/>
      <c r="CQ7" s="77"/>
      <c r="CR7" s="74" t="s">
        <v>85</v>
      </c>
      <c r="CS7" s="347" t="str">
        <f>IFERROR(
  IF(INDEX(ACC!C:C, MATCH(CS4, ACC!A:A, 0)) = "",
     "-",
     INDEX(ACC!C:C, MATCH(CS4, ACC!A:A, 0))),
  "-"
)</f>
        <v>-</v>
      </c>
      <c r="CT7" s="76"/>
    </row>
    <row r="8" spans="1:98">
      <c r="A8" s="122" t="s">
        <v>136</v>
      </c>
      <c r="B8" s="123"/>
      <c r="C8" s="123"/>
      <c r="D8" s="124"/>
      <c r="E8" s="131">
        <v>1</v>
      </c>
      <c r="F8" s="132"/>
      <c r="G8" s="49" t="s">
        <v>6</v>
      </c>
      <c r="H8" s="133" t="s">
        <v>135</v>
      </c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4"/>
      <c r="V8" s="135">
        <v>22</v>
      </c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4"/>
      <c r="AI8" s="135">
        <v>23</v>
      </c>
      <c r="AJ8" s="133"/>
      <c r="AK8" s="133"/>
      <c r="AL8" s="133"/>
      <c r="AM8" s="133"/>
      <c r="AN8" s="133"/>
      <c r="AO8" s="133"/>
      <c r="AP8" s="133"/>
      <c r="AQ8" s="133"/>
      <c r="AR8" s="133"/>
      <c r="AS8" s="136"/>
      <c r="AT8" s="122" t="s">
        <v>134</v>
      </c>
      <c r="AU8" s="123"/>
      <c r="AV8" s="123"/>
      <c r="AW8" s="124"/>
      <c r="AX8" s="139">
        <v>46</v>
      </c>
      <c r="AY8" s="140"/>
      <c r="AZ8" s="49" t="s">
        <v>6</v>
      </c>
      <c r="BA8" s="80" t="s">
        <v>133</v>
      </c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141"/>
      <c r="BQ8" s="357" t="str">
        <f>_xlfn.TEXTJOIN(" ", TRUE,
  IF(CN7&lt;&gt;"-", CN7, ""),
  IF(CO7&lt;&gt;"-", CO7, "")
)</f>
        <v/>
      </c>
      <c r="BR8" s="358"/>
      <c r="BS8" s="358"/>
      <c r="BT8" s="358"/>
      <c r="BU8" s="358"/>
      <c r="BV8" s="358"/>
      <c r="BW8" s="358"/>
      <c r="BX8" s="358"/>
      <c r="BY8" s="358"/>
      <c r="BZ8" s="358"/>
      <c r="CA8" s="358"/>
      <c r="CB8" s="358"/>
      <c r="CC8" s="358"/>
      <c r="CD8" s="358"/>
      <c r="CE8" s="358"/>
      <c r="CF8" s="358"/>
      <c r="CG8" s="358"/>
      <c r="CH8" s="358"/>
      <c r="CI8" s="358"/>
      <c r="CJ8" s="359"/>
      <c r="CK8" s="73"/>
      <c r="CL8" s="48"/>
      <c r="CM8" s="59" t="s">
        <v>132</v>
      </c>
      <c r="CN8" s="348" t="str" cm="1">
        <f t="array" ref="CN8">IFERROR(
IF(INDEX(ACT!K:K,MATCH(1,(ACT!H:H=CN18)*(ACT!I:I=CN17),0))="", "-",
INDEX(ACT!K:K,MATCH(1,(ACT!H:H=CN18)*(ACT!I:I=CN17),0))), "-"
)</f>
        <v>-</v>
      </c>
      <c r="CO8" s="348" t="str" cm="1">
        <f t="array" ref="CO8">IFERROR(
IF(INDEX(ACT!L:L,MATCH(1,(ACT!H:H=CN18)*(ACT!I:I=CN17),0))="", "-",
INDEX(ACT!L:L,MATCH(1,(ACT!H:H=CN18)*(ACT!I:I=CN17),0))), "-"
)</f>
        <v>-</v>
      </c>
      <c r="CP8" s="41"/>
      <c r="CQ8" s="77"/>
      <c r="CR8" s="74" t="s">
        <v>82</v>
      </c>
      <c r="CS8" s="347" t="str">
        <f>IFERROR(
  IF(INDEX(ACC!D:D, MATCH(CS4, ACC!A:A, 0)) = "",
     "-",
     INDEX(ACC!D:D, MATCH(CS4, ACC!A:A, 0))),
  "-"
)</f>
        <v>-</v>
      </c>
      <c r="CT8" s="76"/>
    </row>
    <row r="9" spans="1:98">
      <c r="A9" s="125"/>
      <c r="B9" s="126"/>
      <c r="C9" s="126"/>
      <c r="D9" s="127"/>
      <c r="E9" s="115">
        <v>2</v>
      </c>
      <c r="F9" s="116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9"/>
      <c r="V9" s="120" t="s">
        <v>131</v>
      </c>
      <c r="W9" s="120"/>
      <c r="X9" s="120"/>
      <c r="Y9" s="120"/>
      <c r="Z9" s="120"/>
      <c r="AA9" s="120"/>
      <c r="AB9" s="120"/>
      <c r="AC9" s="120"/>
      <c r="AD9" s="120" t="s">
        <v>130</v>
      </c>
      <c r="AE9" s="120"/>
      <c r="AF9" s="120"/>
      <c r="AG9" s="120"/>
      <c r="AH9" s="120"/>
      <c r="AI9" s="120"/>
      <c r="AJ9" s="120"/>
      <c r="AK9" s="120"/>
      <c r="AL9" s="120" t="s">
        <v>129</v>
      </c>
      <c r="AM9" s="120"/>
      <c r="AN9" s="120"/>
      <c r="AO9" s="120"/>
      <c r="AP9" s="120"/>
      <c r="AQ9" s="120"/>
      <c r="AR9" s="120"/>
      <c r="AS9" s="121"/>
      <c r="AT9" s="125"/>
      <c r="AU9" s="126"/>
      <c r="AV9" s="126"/>
      <c r="AW9" s="127"/>
      <c r="AX9" s="137">
        <v>47</v>
      </c>
      <c r="AY9" s="138"/>
      <c r="AZ9" s="31" t="s">
        <v>6</v>
      </c>
      <c r="BA9" s="85" t="s">
        <v>44</v>
      </c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7"/>
      <c r="BQ9" s="360" t="str">
        <f>IF(CN6="", "-", CN6)</f>
        <v>-</v>
      </c>
      <c r="BR9" s="361"/>
      <c r="BS9" s="361"/>
      <c r="BT9" s="361"/>
      <c r="BU9" s="361"/>
      <c r="BV9" s="361"/>
      <c r="BW9" s="361"/>
      <c r="BX9" s="361"/>
      <c r="BY9" s="361"/>
      <c r="BZ9" s="361"/>
      <c r="CA9" s="361"/>
      <c r="CB9" s="361"/>
      <c r="CC9" s="361"/>
      <c r="CD9" s="361"/>
      <c r="CE9" s="361"/>
      <c r="CF9" s="361"/>
      <c r="CG9" s="361"/>
      <c r="CH9" s="361"/>
      <c r="CI9" s="361"/>
      <c r="CJ9" s="362"/>
      <c r="CK9" s="73"/>
      <c r="CL9" s="48"/>
      <c r="CM9" s="59" t="s">
        <v>128</v>
      </c>
      <c r="CN9" s="351" t="str">
        <f>IFERROR(
IF(INDEX(ACT!D:D, MATCH(CN4,ACT!B:B, 0))="", "-",
INDEX(ACT!D:D, MATCH(CN4,ACT!B:B, 0))), "-"
)</f>
        <v>-</v>
      </c>
      <c r="CO9" s="352"/>
      <c r="CP9" s="41"/>
      <c r="CQ9" s="77"/>
      <c r="CR9" s="74" t="s">
        <v>127</v>
      </c>
      <c r="CS9" s="347" t="str">
        <f>IFERROR(
  IF(INDEX(ACC!B:B, MATCH(CS4, ACC!A:A, 0)) = "",
     "-",
     INDEX(ACC!B:B, MATCH(CS4, ACC!A:A, 0))),
  "-"
)</f>
        <v>-</v>
      </c>
      <c r="CT9" s="76"/>
    </row>
    <row r="10" spans="1:98">
      <c r="A10" s="125"/>
      <c r="B10" s="126"/>
      <c r="C10" s="126"/>
      <c r="D10" s="127"/>
      <c r="E10" s="115">
        <v>3</v>
      </c>
      <c r="F10" s="116"/>
      <c r="G10" s="31" t="s">
        <v>16</v>
      </c>
      <c r="H10" s="85" t="s">
        <v>126</v>
      </c>
      <c r="I10" s="85"/>
      <c r="J10" s="85"/>
      <c r="K10" s="85"/>
      <c r="L10" s="85"/>
      <c r="M10" s="85"/>
      <c r="N10" s="85"/>
      <c r="O10" s="85"/>
      <c r="P10" s="87"/>
      <c r="Q10" s="120" t="s">
        <v>125</v>
      </c>
      <c r="R10" s="120"/>
      <c r="S10" s="120"/>
      <c r="T10" s="120"/>
      <c r="U10" s="120"/>
      <c r="V10" s="120" t="s">
        <v>124</v>
      </c>
      <c r="W10" s="120"/>
      <c r="X10" s="120"/>
      <c r="Y10" s="120"/>
      <c r="Z10" s="120"/>
      <c r="AA10" s="120"/>
      <c r="AB10" s="120"/>
      <c r="AC10" s="120"/>
      <c r="AD10" s="120" t="s">
        <v>123</v>
      </c>
      <c r="AE10" s="120"/>
      <c r="AF10" s="120"/>
      <c r="AG10" s="120"/>
      <c r="AH10" s="120"/>
      <c r="AI10" s="120"/>
      <c r="AJ10" s="120"/>
      <c r="AK10" s="120"/>
      <c r="AL10" s="120" t="s">
        <v>122</v>
      </c>
      <c r="AM10" s="120"/>
      <c r="AN10" s="120"/>
      <c r="AO10" s="120"/>
      <c r="AP10" s="120"/>
      <c r="AQ10" s="120"/>
      <c r="AR10" s="120"/>
      <c r="AS10" s="121"/>
      <c r="AT10" s="125"/>
      <c r="AU10" s="126"/>
      <c r="AV10" s="126"/>
      <c r="AW10" s="127"/>
      <c r="AX10" s="137">
        <v>48</v>
      </c>
      <c r="AY10" s="138"/>
      <c r="AZ10" s="31"/>
      <c r="BA10" s="85" t="s">
        <v>121</v>
      </c>
      <c r="BB10" s="85"/>
      <c r="BC10" s="85"/>
      <c r="BD10" s="85"/>
      <c r="BE10" s="85"/>
      <c r="BF10" s="85"/>
      <c r="BG10" s="87"/>
      <c r="BH10" s="57" t="s">
        <v>6</v>
      </c>
      <c r="BI10" s="85" t="s">
        <v>120</v>
      </c>
      <c r="BJ10" s="85"/>
      <c r="BK10" s="85"/>
      <c r="BL10" s="85"/>
      <c r="BM10" s="85"/>
      <c r="BN10" s="85"/>
      <c r="BO10" s="85"/>
      <c r="BP10" s="87"/>
      <c r="BQ10" s="360" t="str">
        <f>IF(CN8="", "-", CN8)</f>
        <v>-</v>
      </c>
      <c r="BR10" s="361"/>
      <c r="BS10" s="361"/>
      <c r="BT10" s="361"/>
      <c r="BU10" s="361"/>
      <c r="BV10" s="361"/>
      <c r="BW10" s="361"/>
      <c r="BX10" s="361"/>
      <c r="BY10" s="361"/>
      <c r="BZ10" s="363"/>
      <c r="CA10" s="360" t="str">
        <f>IF(CO8="", "-", CO8)</f>
        <v>-</v>
      </c>
      <c r="CB10" s="361"/>
      <c r="CC10" s="361"/>
      <c r="CD10" s="361"/>
      <c r="CE10" s="361"/>
      <c r="CF10" s="361"/>
      <c r="CG10" s="361"/>
      <c r="CH10" s="361"/>
      <c r="CI10" s="361"/>
      <c r="CJ10" s="362"/>
      <c r="CK10" s="73"/>
      <c r="CL10" s="48"/>
      <c r="CM10" s="59" t="s">
        <v>119</v>
      </c>
      <c r="CN10" s="351" t="str">
        <f>IFERROR(
IF(INDEX(ACT!E:E, MATCH(CN4,ACT!B:B, 0))="", "-",
INDEX(ACT!E:E, MATCH(CN4,ACT!B:B, 0))), "-"
)</f>
        <v>-</v>
      </c>
      <c r="CO10" s="352"/>
      <c r="CP10" s="41"/>
      <c r="CQ10" s="77"/>
      <c r="CR10" s="74" t="s">
        <v>118</v>
      </c>
      <c r="CS10" s="347" t="str">
        <f>IFERROR(
  IF(INDEX(ACC!G:G, MATCH(CS4, ACC!A:A, 0)) = "",
     "-",
     INDEX(ACC!G:G, MATCH(CS4, ACC!A:A, 0))),
  "-"
)</f>
        <v>-</v>
      </c>
      <c r="CT10" s="76"/>
    </row>
    <row r="11" spans="1:98" ht="16.5" customHeight="1">
      <c r="A11" s="125"/>
      <c r="B11" s="126"/>
      <c r="C11" s="126"/>
      <c r="D11" s="127"/>
      <c r="E11" s="115">
        <v>4</v>
      </c>
      <c r="F11" s="116"/>
      <c r="G11" s="31"/>
      <c r="H11" s="85" t="s">
        <v>117</v>
      </c>
      <c r="I11" s="85"/>
      <c r="J11" s="85"/>
      <c r="K11" s="85"/>
      <c r="L11" s="85"/>
      <c r="M11" s="85"/>
      <c r="N11" s="85"/>
      <c r="O11" s="85"/>
      <c r="P11" s="87"/>
      <c r="Q11" s="120">
        <v>35</v>
      </c>
      <c r="R11" s="120"/>
      <c r="S11" s="120"/>
      <c r="T11" s="120"/>
      <c r="U11" s="120"/>
      <c r="V11" s="120">
        <v>32</v>
      </c>
      <c r="W11" s="120"/>
      <c r="X11" s="120"/>
      <c r="Y11" s="120"/>
      <c r="Z11" s="120"/>
      <c r="AA11" s="120"/>
      <c r="AB11" s="120"/>
      <c r="AC11" s="120"/>
      <c r="AD11" s="120">
        <v>33</v>
      </c>
      <c r="AE11" s="120"/>
      <c r="AF11" s="120"/>
      <c r="AG11" s="120"/>
      <c r="AH11" s="120"/>
      <c r="AI11" s="120"/>
      <c r="AJ11" s="120"/>
      <c r="AK11" s="120"/>
      <c r="AL11" s="120">
        <v>34</v>
      </c>
      <c r="AM11" s="120"/>
      <c r="AN11" s="120"/>
      <c r="AO11" s="120"/>
      <c r="AP11" s="120"/>
      <c r="AQ11" s="120"/>
      <c r="AR11" s="120"/>
      <c r="AS11" s="120"/>
      <c r="AT11" s="125"/>
      <c r="AU11" s="126"/>
      <c r="AV11" s="126"/>
      <c r="AW11" s="127"/>
      <c r="AX11" s="137">
        <v>49</v>
      </c>
      <c r="AY11" s="138"/>
      <c r="AZ11" s="31" t="s">
        <v>6</v>
      </c>
      <c r="BA11" s="85" t="s">
        <v>116</v>
      </c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7"/>
      <c r="BQ11" s="364" t="str" cm="1">
        <f t="array" ref="BQ11">IFERROR(
IF(INDEX(ACT!J:J,MATCH(1,(ACT!H:H=CN18)*(ACT!I:I=CN17),0))="", "-",
INDEX(ACT!J:J,MATCH(1,(ACT!H:H=CN18)*(ACT!I:I=CN17),0))), "-"
)</f>
        <v>-</v>
      </c>
      <c r="BR11" s="364"/>
      <c r="BS11" s="364"/>
      <c r="BT11" s="364"/>
      <c r="BU11" s="364"/>
      <c r="BV11" s="364"/>
      <c r="BW11" s="364"/>
      <c r="BX11" s="364"/>
      <c r="BY11" s="364"/>
      <c r="BZ11" s="364"/>
      <c r="CA11" s="364"/>
      <c r="CB11" s="364"/>
      <c r="CC11" s="364"/>
      <c r="CD11" s="364"/>
      <c r="CE11" s="364"/>
      <c r="CF11" s="364"/>
      <c r="CG11" s="364"/>
      <c r="CH11" s="364"/>
      <c r="CI11" s="364"/>
      <c r="CJ11" s="365"/>
      <c r="CK11" s="73"/>
      <c r="CL11" s="48"/>
      <c r="CM11" s="79" t="s">
        <v>115</v>
      </c>
      <c r="CN11" s="349"/>
      <c r="CO11" s="350"/>
      <c r="CP11" s="41"/>
      <c r="CQ11" s="77"/>
      <c r="CR11" s="74" t="s">
        <v>114</v>
      </c>
      <c r="CS11" s="347" t="str">
        <f>IFERROR(
  IF(INDEX(ACC!H:H, MATCH(CS4, ACC!A:A, 0)) = "",
     "-",
     INDEX(ACC!H:H, MATCH(CS4, ACC!A:A, 0))),
  "-"
)</f>
        <v>-</v>
      </c>
      <c r="CT11" s="76"/>
    </row>
    <row r="12" spans="1:98" ht="16.5" customHeight="1">
      <c r="A12" s="125"/>
      <c r="B12" s="126"/>
      <c r="C12" s="126"/>
      <c r="D12" s="127"/>
      <c r="E12" s="115">
        <v>5</v>
      </c>
      <c r="F12" s="116"/>
      <c r="G12" s="31" t="s">
        <v>16</v>
      </c>
      <c r="H12" s="85" t="s">
        <v>113</v>
      </c>
      <c r="I12" s="85"/>
      <c r="J12" s="85"/>
      <c r="K12" s="85"/>
      <c r="L12" s="85"/>
      <c r="M12" s="85"/>
      <c r="N12" s="85"/>
      <c r="O12" s="85"/>
      <c r="P12" s="87"/>
      <c r="Q12" s="120">
        <v>39</v>
      </c>
      <c r="R12" s="120"/>
      <c r="S12" s="120"/>
      <c r="T12" s="120"/>
      <c r="U12" s="120"/>
      <c r="V12" s="120">
        <v>36</v>
      </c>
      <c r="W12" s="120"/>
      <c r="X12" s="120"/>
      <c r="Y12" s="120"/>
      <c r="Z12" s="120"/>
      <c r="AA12" s="120"/>
      <c r="AB12" s="120"/>
      <c r="AC12" s="120"/>
      <c r="AD12" s="120">
        <v>37</v>
      </c>
      <c r="AE12" s="120"/>
      <c r="AF12" s="120"/>
      <c r="AG12" s="120"/>
      <c r="AH12" s="120"/>
      <c r="AI12" s="120"/>
      <c r="AJ12" s="120"/>
      <c r="AK12" s="120"/>
      <c r="AL12" s="120">
        <v>38</v>
      </c>
      <c r="AM12" s="120"/>
      <c r="AN12" s="120"/>
      <c r="AO12" s="120"/>
      <c r="AP12" s="120"/>
      <c r="AQ12" s="120"/>
      <c r="AR12" s="120"/>
      <c r="AS12" s="120"/>
      <c r="AT12" s="125"/>
      <c r="AU12" s="126"/>
      <c r="AV12" s="126"/>
      <c r="AW12" s="127"/>
      <c r="AX12" s="137">
        <v>50</v>
      </c>
      <c r="AY12" s="138"/>
      <c r="AZ12" s="31"/>
      <c r="BA12" s="85" t="s">
        <v>13</v>
      </c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7"/>
      <c r="BQ12" s="366" t="str">
        <f>IF(CN9="", "-", CN9)</f>
        <v>-</v>
      </c>
      <c r="BR12" s="367"/>
      <c r="BS12" s="367"/>
      <c r="BT12" s="367"/>
      <c r="BU12" s="367"/>
      <c r="BV12" s="367"/>
      <c r="BW12" s="367"/>
      <c r="BX12" s="367"/>
      <c r="BY12" s="367"/>
      <c r="BZ12" s="367"/>
      <c r="CA12" s="367"/>
      <c r="CB12" s="367"/>
      <c r="CC12" s="367"/>
      <c r="CD12" s="367"/>
      <c r="CE12" s="367"/>
      <c r="CF12" s="367"/>
      <c r="CG12" s="367"/>
      <c r="CH12" s="367"/>
      <c r="CI12" s="367"/>
      <c r="CJ12" s="368"/>
      <c r="CK12" s="73"/>
      <c r="CL12" s="48"/>
      <c r="CM12" s="59" t="s">
        <v>112</v>
      </c>
      <c r="CN12" s="351" t="str">
        <f>IFERROR(
IF(INDEX(ACT!O:O, MATCH(CN11,ACT!N:N, 0))="", "-",
INDEX(ACT!O:O, MATCH(CN11,ACT!N:N, 0))), "-"
)</f>
        <v>-</v>
      </c>
      <c r="CO12" s="352"/>
      <c r="CP12" s="41"/>
      <c r="CQ12" s="77"/>
      <c r="CR12" s="78" t="s">
        <v>111</v>
      </c>
      <c r="CS12" s="346"/>
      <c r="CT12" s="76"/>
    </row>
    <row r="13" spans="1:98" ht="17.25" thickBot="1">
      <c r="A13" s="125"/>
      <c r="B13" s="126"/>
      <c r="C13" s="126"/>
      <c r="D13" s="127"/>
      <c r="E13" s="115">
        <v>6</v>
      </c>
      <c r="F13" s="116"/>
      <c r="G13" s="31" t="s">
        <v>6</v>
      </c>
      <c r="H13" s="85" t="s">
        <v>110</v>
      </c>
      <c r="I13" s="85"/>
      <c r="J13" s="85"/>
      <c r="K13" s="85"/>
      <c r="L13" s="85"/>
      <c r="M13" s="85"/>
      <c r="N13" s="85"/>
      <c r="O13" s="85"/>
      <c r="P13" s="87"/>
      <c r="Q13" s="120">
        <v>43</v>
      </c>
      <c r="R13" s="120"/>
      <c r="S13" s="120"/>
      <c r="T13" s="120"/>
      <c r="U13" s="120"/>
      <c r="V13" s="120">
        <v>40</v>
      </c>
      <c r="W13" s="120"/>
      <c r="X13" s="120"/>
      <c r="Y13" s="120"/>
      <c r="Z13" s="120"/>
      <c r="AA13" s="120"/>
      <c r="AB13" s="120"/>
      <c r="AC13" s="120"/>
      <c r="AD13" s="120">
        <v>41</v>
      </c>
      <c r="AE13" s="120"/>
      <c r="AF13" s="120"/>
      <c r="AG13" s="120"/>
      <c r="AH13" s="120"/>
      <c r="AI13" s="120"/>
      <c r="AJ13" s="120"/>
      <c r="AK13" s="120"/>
      <c r="AL13" s="120">
        <v>42</v>
      </c>
      <c r="AM13" s="120"/>
      <c r="AN13" s="120"/>
      <c r="AO13" s="120"/>
      <c r="AP13" s="120"/>
      <c r="AQ13" s="120"/>
      <c r="AR13" s="120"/>
      <c r="AS13" s="120"/>
      <c r="AT13" s="128"/>
      <c r="AU13" s="129"/>
      <c r="AV13" s="129"/>
      <c r="AW13" s="130"/>
      <c r="AX13" s="148">
        <v>51</v>
      </c>
      <c r="AY13" s="149"/>
      <c r="AZ13" s="27" t="s">
        <v>6</v>
      </c>
      <c r="BA13" s="90" t="s">
        <v>11</v>
      </c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1"/>
      <c r="BQ13" s="369" t="str">
        <f>IF(CN10="", "-", CN10)</f>
        <v>-</v>
      </c>
      <c r="BR13" s="370"/>
      <c r="BS13" s="370"/>
      <c r="BT13" s="370"/>
      <c r="BU13" s="370"/>
      <c r="BV13" s="370"/>
      <c r="BW13" s="370"/>
      <c r="BX13" s="370"/>
      <c r="BY13" s="370"/>
      <c r="BZ13" s="370"/>
      <c r="CA13" s="370"/>
      <c r="CB13" s="370"/>
      <c r="CC13" s="370"/>
      <c r="CD13" s="370"/>
      <c r="CE13" s="370"/>
      <c r="CF13" s="370"/>
      <c r="CG13" s="370"/>
      <c r="CH13" s="370"/>
      <c r="CI13" s="370"/>
      <c r="CJ13" s="371"/>
      <c r="CK13" s="73"/>
      <c r="CL13" s="48"/>
      <c r="CM13" s="59" t="s">
        <v>109</v>
      </c>
      <c r="CN13" s="351" t="str">
        <f>IFERROR(
IF(INDEX(ACT!P:P, MATCH(CN11,ACT!N:N, 0))="", "-",
INDEX(ACT!P:P, MATCH(CN11,ACT!N:N, 0))), "-"
)</f>
        <v>-</v>
      </c>
      <c r="CO13" s="352"/>
      <c r="CP13" s="41"/>
      <c r="CQ13" s="77"/>
      <c r="CR13" s="74" t="s">
        <v>74</v>
      </c>
      <c r="CS13" s="347" t="str">
        <f>IFERROR(
  IF(INDEX(ACC!R:R, MATCH(CS12, ACC!M:M, 0)) = "",
     "-",
     INDEX(ACC!R:R, MATCH(CS12, ACC!M:M, 0))),
  "-"
)</f>
        <v>-</v>
      </c>
      <c r="CT13" s="76"/>
    </row>
    <row r="14" spans="1:98">
      <c r="A14" s="125"/>
      <c r="B14" s="126"/>
      <c r="C14" s="126"/>
      <c r="D14" s="127"/>
      <c r="E14" s="115">
        <v>7</v>
      </c>
      <c r="F14" s="116"/>
      <c r="G14" s="31" t="s">
        <v>16</v>
      </c>
      <c r="H14" s="85" t="s">
        <v>108</v>
      </c>
      <c r="I14" s="85"/>
      <c r="J14" s="85"/>
      <c r="K14" s="85"/>
      <c r="L14" s="85"/>
      <c r="M14" s="85"/>
      <c r="N14" s="85"/>
      <c r="O14" s="85"/>
      <c r="P14" s="87"/>
      <c r="Q14" s="120">
        <v>31</v>
      </c>
      <c r="R14" s="120"/>
      <c r="S14" s="120"/>
      <c r="T14" s="120"/>
      <c r="U14" s="120"/>
      <c r="V14" s="120">
        <v>28</v>
      </c>
      <c r="W14" s="120"/>
      <c r="X14" s="120"/>
      <c r="Y14" s="120"/>
      <c r="Z14" s="120"/>
      <c r="AA14" s="120"/>
      <c r="AB14" s="120"/>
      <c r="AC14" s="120"/>
      <c r="AD14" s="120">
        <v>29</v>
      </c>
      <c r="AE14" s="120"/>
      <c r="AF14" s="120"/>
      <c r="AG14" s="120"/>
      <c r="AH14" s="120"/>
      <c r="AI14" s="120"/>
      <c r="AJ14" s="120"/>
      <c r="AK14" s="120"/>
      <c r="AL14" s="120">
        <v>30</v>
      </c>
      <c r="AM14" s="120"/>
      <c r="AN14" s="120"/>
      <c r="AO14" s="120"/>
      <c r="AP14" s="120"/>
      <c r="AQ14" s="120"/>
      <c r="AR14" s="120"/>
      <c r="AS14" s="120"/>
      <c r="AT14" s="151" t="s">
        <v>107</v>
      </c>
      <c r="AU14" s="152"/>
      <c r="AV14" s="152"/>
      <c r="AW14" s="153"/>
      <c r="AX14" s="144">
        <v>52</v>
      </c>
      <c r="AY14" s="145"/>
      <c r="AZ14" s="30" t="s">
        <v>6</v>
      </c>
      <c r="BA14" s="146" t="s">
        <v>106</v>
      </c>
      <c r="BB14" s="146"/>
      <c r="BC14" s="146"/>
      <c r="BD14" s="146"/>
      <c r="BE14" s="146"/>
      <c r="BF14" s="146"/>
      <c r="BG14" s="146"/>
      <c r="BH14" s="146"/>
      <c r="BI14" s="146"/>
      <c r="BJ14" s="146"/>
      <c r="BK14" s="146"/>
      <c r="BL14" s="146"/>
      <c r="BM14" s="146"/>
      <c r="BN14" s="146"/>
      <c r="BO14" s="146"/>
      <c r="BP14" s="147"/>
      <c r="BQ14" s="357" t="str">
        <f>IF(CN12="", "-", CN12)</f>
        <v>-</v>
      </c>
      <c r="BR14" s="358"/>
      <c r="BS14" s="358"/>
      <c r="BT14" s="358"/>
      <c r="BU14" s="358"/>
      <c r="BV14" s="358"/>
      <c r="BW14" s="358"/>
      <c r="BX14" s="358"/>
      <c r="BY14" s="358"/>
      <c r="BZ14" s="358"/>
      <c r="CA14" s="358"/>
      <c r="CB14" s="358"/>
      <c r="CC14" s="358"/>
      <c r="CD14" s="358"/>
      <c r="CE14" s="358"/>
      <c r="CF14" s="358"/>
      <c r="CG14" s="358"/>
      <c r="CH14" s="358"/>
      <c r="CI14" s="358"/>
      <c r="CJ14" s="359"/>
      <c r="CK14" s="73"/>
      <c r="CL14" s="48"/>
      <c r="CM14" s="59" t="s">
        <v>105</v>
      </c>
      <c r="CN14" s="351" t="str">
        <f>IFERROR(
IF(INDEX(ACT!Q:Q, MATCH(CN11,ACT!N:N, 0))="", "-",
INDEX(ACT!Q:Q, MATCH(CN11,ACT!N:N, 0))), "-"
)</f>
        <v>-</v>
      </c>
      <c r="CO14" s="352"/>
      <c r="CP14" s="41"/>
      <c r="CQ14" s="77"/>
      <c r="CR14" s="74" t="s">
        <v>43</v>
      </c>
      <c r="CS14" s="347" t="str">
        <f>IFERROR(
  IF(INDEX(ACC!Q:Q, MATCH(CS12, ACC!M:M, 0)) = "",
     "-",
     INDEX(ACC!Q:Q, MATCH(CS12, ACC!M:M, 0))),
  "-"
)</f>
        <v>-</v>
      </c>
      <c r="CT14" s="76"/>
    </row>
    <row r="15" spans="1:98" ht="17.25" thickBot="1">
      <c r="A15" s="125"/>
      <c r="B15" s="126"/>
      <c r="C15" s="126"/>
      <c r="D15" s="127"/>
      <c r="E15" s="115">
        <v>8</v>
      </c>
      <c r="F15" s="116"/>
      <c r="G15" s="31" t="s">
        <v>104</v>
      </c>
      <c r="H15" s="85" t="s">
        <v>103</v>
      </c>
      <c r="I15" s="85"/>
      <c r="J15" s="85"/>
      <c r="K15" s="85"/>
      <c r="L15" s="85"/>
      <c r="M15" s="85"/>
      <c r="N15" s="85"/>
      <c r="O15" s="85"/>
      <c r="P15" s="87"/>
      <c r="Q15" s="120" t="s">
        <v>102</v>
      </c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1"/>
      <c r="AT15" s="151"/>
      <c r="AU15" s="152"/>
      <c r="AV15" s="152"/>
      <c r="AW15" s="153"/>
      <c r="AX15" s="137">
        <v>53</v>
      </c>
      <c r="AY15" s="138"/>
      <c r="AZ15" s="37"/>
      <c r="BA15" s="85" t="s">
        <v>13</v>
      </c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7"/>
      <c r="BQ15" s="372" t="str">
        <f>IF(CN13="", "-", CN13)</f>
        <v>-</v>
      </c>
      <c r="BR15" s="373"/>
      <c r="BS15" s="373"/>
      <c r="BT15" s="373"/>
      <c r="BU15" s="373"/>
      <c r="BV15" s="373"/>
      <c r="BW15" s="373"/>
      <c r="BX15" s="373"/>
      <c r="BY15" s="373"/>
      <c r="BZ15" s="373"/>
      <c r="CA15" s="373"/>
      <c r="CB15" s="373"/>
      <c r="CC15" s="373"/>
      <c r="CD15" s="373"/>
      <c r="CE15" s="373"/>
      <c r="CF15" s="373"/>
      <c r="CG15" s="373"/>
      <c r="CH15" s="373"/>
      <c r="CI15" s="373"/>
      <c r="CJ15" s="374"/>
      <c r="CK15" s="73"/>
      <c r="CL15" s="58"/>
      <c r="CM15" s="39"/>
      <c r="CN15" s="355"/>
      <c r="CO15" s="355"/>
      <c r="CP15" s="38"/>
      <c r="CQ15" s="77"/>
      <c r="CR15" s="74" t="s">
        <v>101</v>
      </c>
      <c r="CS15" s="347" t="str">
        <f>IFERROR(
  IF(INDEX(ACC!N:N, MATCH(CS12, ACC!M:M, 0)) = "",
     "-",
     INDEX(ACC!N:N, MATCH(CS12, ACC!M:M, 0))),
  "-"
)</f>
        <v>-</v>
      </c>
      <c r="CT15" s="76"/>
    </row>
    <row r="16" spans="1:98" ht="17.25" thickBot="1">
      <c r="A16" s="125"/>
      <c r="B16" s="126"/>
      <c r="C16" s="126"/>
      <c r="D16" s="127"/>
      <c r="E16" s="115">
        <v>9</v>
      </c>
      <c r="F16" s="116"/>
      <c r="G16" s="57" t="s">
        <v>6</v>
      </c>
      <c r="H16" s="85" t="s">
        <v>100</v>
      </c>
      <c r="I16" s="85"/>
      <c r="J16" s="85"/>
      <c r="K16" s="85"/>
      <c r="L16" s="85"/>
      <c r="M16" s="85"/>
      <c r="N16" s="85"/>
      <c r="O16" s="85"/>
      <c r="P16" s="87"/>
      <c r="Q16" s="120">
        <v>25</v>
      </c>
      <c r="R16" s="120"/>
      <c r="S16" s="120"/>
      <c r="T16" s="120"/>
      <c r="U16" s="120"/>
      <c r="V16" s="120">
        <v>24</v>
      </c>
      <c r="W16" s="120"/>
      <c r="X16" s="120"/>
      <c r="Y16" s="120"/>
      <c r="Z16" s="120"/>
      <c r="AA16" s="120"/>
      <c r="AB16" s="120"/>
      <c r="AC16" s="120"/>
      <c r="AD16" s="120">
        <v>24</v>
      </c>
      <c r="AE16" s="120"/>
      <c r="AF16" s="120"/>
      <c r="AG16" s="120"/>
      <c r="AH16" s="120"/>
      <c r="AI16" s="120"/>
      <c r="AJ16" s="120"/>
      <c r="AK16" s="120"/>
      <c r="AL16" s="120">
        <v>24</v>
      </c>
      <c r="AM16" s="120"/>
      <c r="AN16" s="120"/>
      <c r="AO16" s="120"/>
      <c r="AP16" s="120"/>
      <c r="AQ16" s="120"/>
      <c r="AR16" s="120"/>
      <c r="AS16" s="120"/>
      <c r="AT16" s="154"/>
      <c r="AU16" s="155"/>
      <c r="AV16" s="155"/>
      <c r="AW16" s="156"/>
      <c r="AX16" s="148">
        <v>54</v>
      </c>
      <c r="AY16" s="149"/>
      <c r="AZ16" s="27" t="s">
        <v>6</v>
      </c>
      <c r="BA16" s="90" t="s">
        <v>11</v>
      </c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1"/>
      <c r="BQ16" s="372" t="str">
        <f>IF(CN14="", "-", CN14)</f>
        <v>-</v>
      </c>
      <c r="BR16" s="373"/>
      <c r="BS16" s="373"/>
      <c r="BT16" s="373"/>
      <c r="BU16" s="373"/>
      <c r="BV16" s="373"/>
      <c r="BW16" s="373"/>
      <c r="BX16" s="373"/>
      <c r="BY16" s="373"/>
      <c r="BZ16" s="373"/>
      <c r="CA16" s="373"/>
      <c r="CB16" s="373"/>
      <c r="CC16" s="373"/>
      <c r="CD16" s="373"/>
      <c r="CE16" s="373"/>
      <c r="CF16" s="373"/>
      <c r="CG16" s="373"/>
      <c r="CH16" s="373"/>
      <c r="CI16" s="373"/>
      <c r="CJ16" s="374"/>
      <c r="CK16" s="73"/>
      <c r="CN16" s="356"/>
      <c r="CO16" s="356"/>
      <c r="CQ16" s="77"/>
      <c r="CR16" s="74" t="s">
        <v>85</v>
      </c>
      <c r="CS16" s="348" t="str">
        <f>IFERROR(
  IF(INDEX(ACC!O:O, MATCH(CS12, ACC!M:M, 0)) = "",
     "-",
     INDEX(ACC!O:O, MATCH(CS12, ACC!M:M, 0))),
  "-"
)</f>
        <v>-</v>
      </c>
      <c r="CT16" s="76"/>
    </row>
    <row r="17" spans="1:98">
      <c r="A17" s="125"/>
      <c r="B17" s="126"/>
      <c r="C17" s="126"/>
      <c r="D17" s="127"/>
      <c r="E17" s="115">
        <v>10</v>
      </c>
      <c r="F17" s="116"/>
      <c r="G17" s="31" t="s">
        <v>16</v>
      </c>
      <c r="H17" s="85" t="s">
        <v>99</v>
      </c>
      <c r="I17" s="85"/>
      <c r="J17" s="85"/>
      <c r="K17" s="85"/>
      <c r="L17" s="85"/>
      <c r="M17" s="85"/>
      <c r="N17" s="85"/>
      <c r="O17" s="85"/>
      <c r="P17" s="87"/>
      <c r="Q17" s="120">
        <v>27</v>
      </c>
      <c r="R17" s="120"/>
      <c r="S17" s="120"/>
      <c r="T17" s="120"/>
      <c r="U17" s="120"/>
      <c r="V17" s="120">
        <v>26</v>
      </c>
      <c r="W17" s="120"/>
      <c r="X17" s="120"/>
      <c r="Y17" s="120"/>
      <c r="Z17" s="120"/>
      <c r="AA17" s="120"/>
      <c r="AB17" s="120"/>
      <c r="AC17" s="120"/>
      <c r="AD17" s="120">
        <v>26</v>
      </c>
      <c r="AE17" s="120"/>
      <c r="AF17" s="120"/>
      <c r="AG17" s="120"/>
      <c r="AH17" s="120"/>
      <c r="AI17" s="120"/>
      <c r="AJ17" s="120"/>
      <c r="AK17" s="120"/>
      <c r="AL17" s="120">
        <v>26</v>
      </c>
      <c r="AM17" s="120"/>
      <c r="AN17" s="120"/>
      <c r="AO17" s="120"/>
      <c r="AP17" s="120"/>
      <c r="AQ17" s="120"/>
      <c r="AR17" s="120"/>
      <c r="AS17" s="120"/>
      <c r="AT17" s="150" t="s">
        <v>98</v>
      </c>
      <c r="AU17" s="126"/>
      <c r="AV17" s="126"/>
      <c r="AW17" s="127"/>
      <c r="AX17" s="144">
        <v>55</v>
      </c>
      <c r="AY17" s="145"/>
      <c r="AZ17" s="30" t="s">
        <v>6</v>
      </c>
      <c r="BA17" s="146" t="s">
        <v>97</v>
      </c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46"/>
      <c r="BN17" s="146"/>
      <c r="BO17" s="146"/>
      <c r="BP17" s="147"/>
      <c r="BQ17" s="357" t="str">
        <f>CS9</f>
        <v>-</v>
      </c>
      <c r="BR17" s="358"/>
      <c r="BS17" s="358"/>
      <c r="BT17" s="358"/>
      <c r="BU17" s="358"/>
      <c r="BV17" s="358"/>
      <c r="BW17" s="358"/>
      <c r="BX17" s="358"/>
      <c r="BY17" s="358"/>
      <c r="BZ17" s="358"/>
      <c r="CA17" s="358"/>
      <c r="CB17" s="358"/>
      <c r="CC17" s="358"/>
      <c r="CD17" s="358"/>
      <c r="CE17" s="358"/>
      <c r="CF17" s="358"/>
      <c r="CG17" s="358"/>
      <c r="CH17" s="358"/>
      <c r="CI17" s="358"/>
      <c r="CJ17" s="359"/>
      <c r="CK17" s="73"/>
      <c r="CN17" s="356"/>
      <c r="CO17" s="356"/>
      <c r="CQ17" s="77"/>
      <c r="CR17" s="74" t="s">
        <v>82</v>
      </c>
      <c r="CS17" s="348" t="str">
        <f>IFERROR(
  IF(INDEX(ACC!P:P, MATCH(CS12, ACC!M:M, 0)) = "",
     "-",
     INDEX(ACC!P:P, MATCH(CS12, ACC!M:M, 0))),
  "-"
)</f>
        <v>-</v>
      </c>
      <c r="CT17" s="76"/>
    </row>
    <row r="18" spans="1:98">
      <c r="A18" s="125"/>
      <c r="B18" s="126"/>
      <c r="C18" s="126"/>
      <c r="D18" s="127"/>
      <c r="E18" s="115">
        <v>11</v>
      </c>
      <c r="F18" s="116"/>
      <c r="G18" s="31" t="s">
        <v>6</v>
      </c>
      <c r="H18" s="85" t="s">
        <v>96</v>
      </c>
      <c r="I18" s="85"/>
      <c r="J18" s="85"/>
      <c r="K18" s="85"/>
      <c r="L18" s="85"/>
      <c r="M18" s="85"/>
      <c r="N18" s="85"/>
      <c r="O18" s="85"/>
      <c r="P18" s="87"/>
      <c r="Q18" s="120" t="s">
        <v>95</v>
      </c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1"/>
      <c r="AT18" s="125"/>
      <c r="AU18" s="126"/>
      <c r="AV18" s="126"/>
      <c r="AW18" s="127"/>
      <c r="AX18" s="137">
        <v>56</v>
      </c>
      <c r="AY18" s="138"/>
      <c r="AZ18" s="31" t="s">
        <v>6</v>
      </c>
      <c r="BA18" s="85" t="s">
        <v>61</v>
      </c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7"/>
      <c r="BQ18" s="366" t="str">
        <f>IF(CS7="", "-", CS7)</f>
        <v>-</v>
      </c>
      <c r="BR18" s="367"/>
      <c r="BS18" s="367"/>
      <c r="BT18" s="367"/>
      <c r="BU18" s="367"/>
      <c r="BV18" s="367"/>
      <c r="BW18" s="367"/>
      <c r="BX18" s="367"/>
      <c r="BY18" s="367"/>
      <c r="BZ18" s="367"/>
      <c r="CA18" s="367"/>
      <c r="CB18" s="367"/>
      <c r="CC18" s="367"/>
      <c r="CD18" s="367"/>
      <c r="CE18" s="367"/>
      <c r="CF18" s="367"/>
      <c r="CG18" s="367"/>
      <c r="CH18" s="367"/>
      <c r="CI18" s="367"/>
      <c r="CJ18" s="368"/>
      <c r="CK18" s="73"/>
      <c r="CN18" s="356"/>
      <c r="CO18" s="356"/>
      <c r="CQ18" s="77"/>
      <c r="CR18" s="75" t="s">
        <v>94</v>
      </c>
      <c r="CS18" s="346"/>
      <c r="CT18" s="76"/>
    </row>
    <row r="19" spans="1:98">
      <c r="A19" s="125"/>
      <c r="B19" s="126"/>
      <c r="C19" s="126"/>
      <c r="D19" s="127"/>
      <c r="E19" s="115">
        <v>12</v>
      </c>
      <c r="F19" s="116"/>
      <c r="G19" s="31" t="s">
        <v>16</v>
      </c>
      <c r="H19" s="85" t="s">
        <v>93</v>
      </c>
      <c r="I19" s="85"/>
      <c r="J19" s="85"/>
      <c r="K19" s="85"/>
      <c r="L19" s="85"/>
      <c r="M19" s="85"/>
      <c r="N19" s="85"/>
      <c r="O19" s="85"/>
      <c r="P19" s="87"/>
      <c r="Q19" s="120" t="s">
        <v>92</v>
      </c>
      <c r="R19" s="120"/>
      <c r="S19" s="120"/>
      <c r="T19" s="120"/>
      <c r="U19" s="120"/>
      <c r="V19" s="120">
        <v>63</v>
      </c>
      <c r="W19" s="120"/>
      <c r="X19" s="120"/>
      <c r="Y19" s="120"/>
      <c r="Z19" s="120"/>
      <c r="AA19" s="120"/>
      <c r="AB19" s="120"/>
      <c r="AC19" s="120"/>
      <c r="AD19" s="120">
        <v>64</v>
      </c>
      <c r="AE19" s="120"/>
      <c r="AF19" s="120"/>
      <c r="AG19" s="120"/>
      <c r="AH19" s="120"/>
      <c r="AI19" s="120"/>
      <c r="AJ19" s="120"/>
      <c r="AK19" s="120"/>
      <c r="AL19" s="120">
        <v>65</v>
      </c>
      <c r="AM19" s="120"/>
      <c r="AN19" s="120"/>
      <c r="AO19" s="120"/>
      <c r="AP19" s="120"/>
      <c r="AQ19" s="120"/>
      <c r="AR19" s="120"/>
      <c r="AS19" s="120"/>
      <c r="AT19" s="125"/>
      <c r="AU19" s="126"/>
      <c r="AV19" s="126"/>
      <c r="AW19" s="127"/>
      <c r="AX19" s="137">
        <v>57</v>
      </c>
      <c r="AY19" s="138"/>
      <c r="AZ19" s="31" t="s">
        <v>6</v>
      </c>
      <c r="BA19" s="85" t="s">
        <v>58</v>
      </c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7"/>
      <c r="BQ19" s="366" t="str">
        <f>IF(CS8="", "-", CS8)</f>
        <v>-</v>
      </c>
      <c r="BR19" s="367"/>
      <c r="BS19" s="367"/>
      <c r="BT19" s="367"/>
      <c r="BU19" s="367"/>
      <c r="BV19" s="367"/>
      <c r="BW19" s="367"/>
      <c r="BX19" s="367"/>
      <c r="BY19" s="367"/>
      <c r="BZ19" s="367"/>
      <c r="CA19" s="367"/>
      <c r="CB19" s="367"/>
      <c r="CC19" s="367"/>
      <c r="CD19" s="367"/>
      <c r="CE19" s="367"/>
      <c r="CF19" s="367"/>
      <c r="CG19" s="367"/>
      <c r="CH19" s="367"/>
      <c r="CI19" s="367"/>
      <c r="CJ19" s="368"/>
      <c r="CK19" s="73"/>
      <c r="CQ19" s="77"/>
      <c r="CR19" s="74" t="s">
        <v>74</v>
      </c>
      <c r="CS19" s="347" t="str">
        <f>IFERROR(
  IF(INDEX(ACC!X:X, MATCH(CS18, ACC!S:S, 0)) = "",
     "-",
     INDEX(ACC!X:X, MATCH(CS18, ACC!S:S, 0))),
  "-"
)</f>
        <v>-</v>
      </c>
      <c r="CT19" s="76"/>
    </row>
    <row r="20" spans="1:98" ht="17.25" thickBot="1">
      <c r="A20" s="125"/>
      <c r="B20" s="126"/>
      <c r="C20" s="126"/>
      <c r="D20" s="127"/>
      <c r="E20" s="115">
        <v>13</v>
      </c>
      <c r="F20" s="116"/>
      <c r="G20" s="31" t="s">
        <v>16</v>
      </c>
      <c r="H20" s="85" t="s">
        <v>91</v>
      </c>
      <c r="I20" s="85"/>
      <c r="J20" s="85"/>
      <c r="K20" s="85"/>
      <c r="L20" s="85"/>
      <c r="M20" s="85"/>
      <c r="N20" s="85"/>
      <c r="O20" s="85"/>
      <c r="P20" s="87"/>
      <c r="Q20" s="157">
        <v>59</v>
      </c>
      <c r="R20" s="157"/>
      <c r="S20" s="157"/>
      <c r="T20" s="157"/>
      <c r="U20" s="157"/>
      <c r="V20" s="120">
        <v>56</v>
      </c>
      <c r="W20" s="120"/>
      <c r="X20" s="120"/>
      <c r="Y20" s="120"/>
      <c r="Z20" s="120"/>
      <c r="AA20" s="120"/>
      <c r="AB20" s="120"/>
      <c r="AC20" s="120"/>
      <c r="AD20" s="120">
        <v>57</v>
      </c>
      <c r="AE20" s="120"/>
      <c r="AF20" s="120"/>
      <c r="AG20" s="120"/>
      <c r="AH20" s="120"/>
      <c r="AI20" s="120"/>
      <c r="AJ20" s="120"/>
      <c r="AK20" s="120"/>
      <c r="AL20" s="120">
        <v>58</v>
      </c>
      <c r="AM20" s="120"/>
      <c r="AN20" s="120"/>
      <c r="AO20" s="120"/>
      <c r="AP20" s="120"/>
      <c r="AQ20" s="120"/>
      <c r="AR20" s="120"/>
      <c r="AS20" s="120"/>
      <c r="AT20" s="128"/>
      <c r="AU20" s="129"/>
      <c r="AV20" s="129"/>
      <c r="AW20" s="130"/>
      <c r="AX20" s="148">
        <v>58</v>
      </c>
      <c r="AY20" s="149"/>
      <c r="AZ20" s="27" t="s">
        <v>6</v>
      </c>
      <c r="BA20" s="90" t="s">
        <v>44</v>
      </c>
      <c r="BB20" s="90"/>
      <c r="BC20" s="90"/>
      <c r="BD20" s="90"/>
      <c r="BE20" s="90"/>
      <c r="BF20" s="90"/>
      <c r="BG20" s="90"/>
      <c r="BH20" s="43" t="s">
        <v>6</v>
      </c>
      <c r="BI20" s="90" t="s">
        <v>56</v>
      </c>
      <c r="BJ20" s="90"/>
      <c r="BK20" s="90"/>
      <c r="BL20" s="90"/>
      <c r="BM20" s="90"/>
      <c r="BN20" s="90"/>
      <c r="BO20" s="90"/>
      <c r="BP20" s="91"/>
      <c r="BQ20" s="360" t="str">
        <f>IF(CS6="", "-", CS6)</f>
        <v>-</v>
      </c>
      <c r="BR20" s="361"/>
      <c r="BS20" s="361"/>
      <c r="BT20" s="361"/>
      <c r="BU20" s="361"/>
      <c r="BV20" s="361"/>
      <c r="BW20" s="361"/>
      <c r="BX20" s="361"/>
      <c r="BY20" s="361"/>
      <c r="BZ20" s="363"/>
      <c r="CA20" s="360" t="str">
        <f>IF(CS5="", "-", CS5)</f>
        <v>-</v>
      </c>
      <c r="CB20" s="361"/>
      <c r="CC20" s="361"/>
      <c r="CD20" s="361"/>
      <c r="CE20" s="361"/>
      <c r="CF20" s="361"/>
      <c r="CG20" s="361"/>
      <c r="CH20" s="361"/>
      <c r="CI20" s="361"/>
      <c r="CJ20" s="362"/>
      <c r="CK20" s="73"/>
      <c r="CQ20" s="77"/>
      <c r="CR20" s="74" t="s">
        <v>43</v>
      </c>
      <c r="CS20" s="347" t="str">
        <f>IFERROR(
  IF(INDEX(ACC!W:W, MATCH(CS18, ACC!S:S, 0)) = "",
     "-",
     INDEX(ACC!W:W, MATCH(CS18, ACC!S:S, 0))),
  "-"
)</f>
        <v>-</v>
      </c>
      <c r="CT20" s="76"/>
    </row>
    <row r="21" spans="1:98">
      <c r="A21" s="125"/>
      <c r="B21" s="126"/>
      <c r="C21" s="126"/>
      <c r="D21" s="127"/>
      <c r="E21" s="115">
        <v>14</v>
      </c>
      <c r="F21" s="116"/>
      <c r="G21" s="31" t="s">
        <v>16</v>
      </c>
      <c r="H21" s="85" t="s">
        <v>90</v>
      </c>
      <c r="I21" s="85"/>
      <c r="J21" s="85"/>
      <c r="K21" s="85"/>
      <c r="L21" s="85"/>
      <c r="M21" s="85"/>
      <c r="N21" s="85"/>
      <c r="O21" s="85"/>
      <c r="P21" s="87"/>
      <c r="Q21" s="120" t="s">
        <v>89</v>
      </c>
      <c r="R21" s="120"/>
      <c r="S21" s="120"/>
      <c r="T21" s="120"/>
      <c r="U21" s="120"/>
      <c r="V21" s="120">
        <v>60</v>
      </c>
      <c r="W21" s="120"/>
      <c r="X21" s="120"/>
      <c r="Y21" s="120"/>
      <c r="Z21" s="120"/>
      <c r="AA21" s="120"/>
      <c r="AB21" s="120"/>
      <c r="AC21" s="120"/>
      <c r="AD21" s="120">
        <v>61</v>
      </c>
      <c r="AE21" s="120"/>
      <c r="AF21" s="120"/>
      <c r="AG21" s="120"/>
      <c r="AH21" s="120"/>
      <c r="AI21" s="120"/>
      <c r="AJ21" s="120"/>
      <c r="AK21" s="120"/>
      <c r="AL21" s="120">
        <v>62</v>
      </c>
      <c r="AM21" s="120"/>
      <c r="AN21" s="120"/>
      <c r="AO21" s="120"/>
      <c r="AP21" s="120"/>
      <c r="AQ21" s="120"/>
      <c r="AR21" s="120"/>
      <c r="AS21" s="120"/>
      <c r="AT21" s="160" t="s">
        <v>88</v>
      </c>
      <c r="AU21" s="161"/>
      <c r="AV21" s="161"/>
      <c r="AW21" s="162"/>
      <c r="AX21" s="144">
        <v>59</v>
      </c>
      <c r="AY21" s="145"/>
      <c r="AZ21" s="30" t="s">
        <v>6</v>
      </c>
      <c r="BA21" s="146" t="s">
        <v>87</v>
      </c>
      <c r="BB21" s="146"/>
      <c r="BC21" s="146"/>
      <c r="BD21" s="146"/>
      <c r="BE21" s="146"/>
      <c r="BF21" s="146"/>
      <c r="BG21" s="146"/>
      <c r="BH21" s="146"/>
      <c r="BI21" s="146"/>
      <c r="BJ21" s="146"/>
      <c r="BK21" s="146"/>
      <c r="BL21" s="146"/>
      <c r="BM21" s="146"/>
      <c r="BN21" s="146"/>
      <c r="BO21" s="146"/>
      <c r="BP21" s="147"/>
      <c r="BQ21" s="357" t="str">
        <f>IF(CS10="", "-", CS10)</f>
        <v>-</v>
      </c>
      <c r="BR21" s="358"/>
      <c r="BS21" s="358"/>
      <c r="BT21" s="358"/>
      <c r="BU21" s="358"/>
      <c r="BV21" s="358"/>
      <c r="BW21" s="358"/>
      <c r="BX21" s="358"/>
      <c r="BY21" s="358"/>
      <c r="BZ21" s="358"/>
      <c r="CA21" s="358"/>
      <c r="CB21" s="358"/>
      <c r="CC21" s="358"/>
      <c r="CD21" s="358"/>
      <c r="CE21" s="358"/>
      <c r="CF21" s="358"/>
      <c r="CG21" s="358"/>
      <c r="CH21" s="358"/>
      <c r="CI21" s="358"/>
      <c r="CJ21" s="359"/>
      <c r="CK21" s="73"/>
      <c r="CQ21" s="77"/>
      <c r="CR21" s="74" t="s">
        <v>86</v>
      </c>
      <c r="CS21" s="347" t="str">
        <f>IFERROR(
  IF(INDEX(ACC!T:T, MATCH(CS18, ACC!S:S, 0)) = "",
     "-",
     INDEX(ACC!T:T, MATCH(CS18, ACC!S:S, 0))),
  "-"
)</f>
        <v>-</v>
      </c>
      <c r="CT21" s="76"/>
    </row>
    <row r="22" spans="1:98" ht="17.25" thickBot="1">
      <c r="A22" s="125"/>
      <c r="B22" s="126"/>
      <c r="C22" s="126"/>
      <c r="D22" s="127"/>
      <c r="E22" s="115">
        <v>15</v>
      </c>
      <c r="F22" s="116"/>
      <c r="G22" s="31"/>
      <c r="H22" s="85"/>
      <c r="I22" s="85"/>
      <c r="J22" s="85"/>
      <c r="K22" s="85"/>
      <c r="L22" s="85"/>
      <c r="M22" s="85"/>
      <c r="N22" s="85"/>
      <c r="O22" s="85"/>
      <c r="P22" s="87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1"/>
      <c r="AT22" s="163"/>
      <c r="AU22" s="164"/>
      <c r="AV22" s="164"/>
      <c r="AW22" s="165"/>
      <c r="AX22" s="148">
        <v>60</v>
      </c>
      <c r="AY22" s="149"/>
      <c r="AZ22" s="43" t="s">
        <v>6</v>
      </c>
      <c r="BA22" s="90" t="s">
        <v>61</v>
      </c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1"/>
      <c r="BQ22" s="366" t="str">
        <f>IF(CS11="", "-", CS11)</f>
        <v>-</v>
      </c>
      <c r="BR22" s="367"/>
      <c r="BS22" s="367"/>
      <c r="BT22" s="367"/>
      <c r="BU22" s="367"/>
      <c r="BV22" s="367"/>
      <c r="BW22" s="367"/>
      <c r="BX22" s="367"/>
      <c r="BY22" s="367"/>
      <c r="BZ22" s="367"/>
      <c r="CA22" s="367"/>
      <c r="CB22" s="367"/>
      <c r="CC22" s="367"/>
      <c r="CD22" s="367"/>
      <c r="CE22" s="367"/>
      <c r="CF22" s="367"/>
      <c r="CG22" s="367"/>
      <c r="CH22" s="367"/>
      <c r="CI22" s="367"/>
      <c r="CJ22" s="368"/>
      <c r="CK22" s="73"/>
      <c r="CQ22" s="77"/>
      <c r="CR22" s="74" t="s">
        <v>85</v>
      </c>
      <c r="CS22" s="348" t="str">
        <f>IFERROR(
  IF(INDEX(ACC!U:U, MATCH(CS18, ACC!S:S, 0)) = "",
     "-",
     INDEX(ACC!U:U, MATCH(CS18, ACC!S:S, 0))),
  "-"
)</f>
        <v>-</v>
      </c>
      <c r="CT22" s="76"/>
    </row>
    <row r="23" spans="1:98" ht="17.25" thickBot="1">
      <c r="A23" s="128"/>
      <c r="B23" s="129"/>
      <c r="C23" s="129"/>
      <c r="D23" s="130"/>
      <c r="E23" s="182">
        <v>16</v>
      </c>
      <c r="F23" s="183"/>
      <c r="G23" s="27"/>
      <c r="H23" s="90"/>
      <c r="I23" s="90"/>
      <c r="J23" s="90"/>
      <c r="K23" s="90"/>
      <c r="L23" s="90"/>
      <c r="M23" s="90"/>
      <c r="N23" s="90"/>
      <c r="O23" s="90"/>
      <c r="P23" s="91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9"/>
      <c r="AT23" s="190" t="s">
        <v>84</v>
      </c>
      <c r="AU23" s="191"/>
      <c r="AV23" s="191"/>
      <c r="AW23" s="192"/>
      <c r="AX23" s="144">
        <v>61</v>
      </c>
      <c r="AY23" s="145"/>
      <c r="AZ23" s="30" t="s">
        <v>6</v>
      </c>
      <c r="BA23" s="146" t="s">
        <v>83</v>
      </c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7"/>
      <c r="BQ23" s="357" t="str">
        <f>IF(CS27="", "-", CS27)</f>
        <v>-</v>
      </c>
      <c r="BR23" s="358"/>
      <c r="BS23" s="358"/>
      <c r="BT23" s="358"/>
      <c r="BU23" s="358"/>
      <c r="BV23" s="358"/>
      <c r="BW23" s="358"/>
      <c r="BX23" s="358"/>
      <c r="BY23" s="358"/>
      <c r="BZ23" s="358"/>
      <c r="CA23" s="358"/>
      <c r="CB23" s="358"/>
      <c r="CC23" s="358"/>
      <c r="CD23" s="358"/>
      <c r="CE23" s="358"/>
      <c r="CF23" s="358"/>
      <c r="CG23" s="358"/>
      <c r="CH23" s="358"/>
      <c r="CI23" s="358"/>
      <c r="CJ23" s="359"/>
      <c r="CK23" s="73"/>
      <c r="CQ23" s="77"/>
      <c r="CR23" s="74" t="s">
        <v>82</v>
      </c>
      <c r="CS23" s="348" t="str">
        <f>IFERROR(
  IF(INDEX(ACC!V:V, MATCH(CS18, ACC!S:S, 0)) = "",
     "-",
     INDEX(ACC!V:V, MATCH(CS18, ACC!S:S, 0))),
  "-"
)</f>
        <v>-</v>
      </c>
      <c r="CT23" s="76"/>
    </row>
    <row r="24" spans="1:98" ht="17.25" thickBot="1">
      <c r="A24" s="122" t="s">
        <v>81</v>
      </c>
      <c r="B24" s="123"/>
      <c r="C24" s="123"/>
      <c r="D24" s="124"/>
      <c r="E24" s="131">
        <v>17</v>
      </c>
      <c r="F24" s="174"/>
      <c r="G24" s="56" t="s">
        <v>6</v>
      </c>
      <c r="H24" s="175" t="s">
        <v>80</v>
      </c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6"/>
      <c r="U24" s="177"/>
      <c r="V24" s="178"/>
      <c r="W24" s="178"/>
      <c r="X24" s="179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1"/>
      <c r="AT24" s="193"/>
      <c r="AU24" s="194"/>
      <c r="AV24" s="194"/>
      <c r="AW24" s="195"/>
      <c r="AX24" s="148">
        <v>62</v>
      </c>
      <c r="AY24" s="149"/>
      <c r="AZ24" s="27" t="s">
        <v>6</v>
      </c>
      <c r="BA24" s="90" t="s">
        <v>44</v>
      </c>
      <c r="BB24" s="90"/>
      <c r="BC24" s="90"/>
      <c r="BD24" s="90"/>
      <c r="BE24" s="90"/>
      <c r="BF24" s="90"/>
      <c r="BG24" s="90"/>
      <c r="BH24" s="43" t="s">
        <v>6</v>
      </c>
      <c r="BI24" s="90" t="s">
        <v>56</v>
      </c>
      <c r="BJ24" s="90"/>
      <c r="BK24" s="90"/>
      <c r="BL24" s="90"/>
      <c r="BM24" s="90"/>
      <c r="BN24" s="90"/>
      <c r="BO24" s="90"/>
      <c r="BP24" s="91"/>
      <c r="BQ24" s="360" t="str">
        <f>IF(CS26="", "-", CS26)</f>
        <v>-</v>
      </c>
      <c r="BR24" s="361"/>
      <c r="BS24" s="361"/>
      <c r="BT24" s="361"/>
      <c r="BU24" s="361"/>
      <c r="BV24" s="361"/>
      <c r="BW24" s="361"/>
      <c r="BX24" s="361"/>
      <c r="BY24" s="361"/>
      <c r="BZ24" s="363"/>
      <c r="CA24" s="360" t="str">
        <f>IF(CS25="", "-", CS25)</f>
        <v>-</v>
      </c>
      <c r="CB24" s="361"/>
      <c r="CC24" s="361"/>
      <c r="CD24" s="361"/>
      <c r="CE24" s="361"/>
      <c r="CF24" s="361"/>
      <c r="CG24" s="361"/>
      <c r="CH24" s="361"/>
      <c r="CI24" s="361"/>
      <c r="CJ24" s="362"/>
      <c r="CK24" s="73"/>
      <c r="CQ24" s="77"/>
      <c r="CR24" s="75" t="s">
        <v>79</v>
      </c>
      <c r="CS24" s="346"/>
      <c r="CT24" s="76"/>
    </row>
    <row r="25" spans="1:98">
      <c r="A25" s="125"/>
      <c r="B25" s="126"/>
      <c r="C25" s="126"/>
      <c r="D25" s="127"/>
      <c r="E25" s="115">
        <v>18</v>
      </c>
      <c r="F25" s="166"/>
      <c r="G25" s="55"/>
      <c r="H25" s="184" t="s">
        <v>78</v>
      </c>
      <c r="I25" s="184"/>
      <c r="J25" s="184"/>
      <c r="K25" s="184"/>
      <c r="L25" s="184"/>
      <c r="M25" s="184"/>
      <c r="N25" s="184"/>
      <c r="O25" s="184"/>
      <c r="P25" s="185"/>
      <c r="Q25" s="54"/>
      <c r="R25" s="167" t="s">
        <v>77</v>
      </c>
      <c r="S25" s="167"/>
      <c r="T25" s="168"/>
      <c r="U25" s="169"/>
      <c r="V25" s="170"/>
      <c r="W25" s="170"/>
      <c r="X25" s="171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3"/>
      <c r="AT25" s="150" t="s">
        <v>76</v>
      </c>
      <c r="AU25" s="188"/>
      <c r="AV25" s="188"/>
      <c r="AW25" s="189"/>
      <c r="AX25" s="144">
        <v>63</v>
      </c>
      <c r="AY25" s="145"/>
      <c r="AZ25" s="30" t="s">
        <v>6</v>
      </c>
      <c r="BA25" s="146" t="s">
        <v>75</v>
      </c>
      <c r="BB25" s="146"/>
      <c r="BC25" s="146"/>
      <c r="BD25" s="146"/>
      <c r="BE25" s="146"/>
      <c r="BF25" s="146"/>
      <c r="BG25" s="146"/>
      <c r="BH25" s="146"/>
      <c r="BI25" s="146"/>
      <c r="BJ25" s="146"/>
      <c r="BK25" s="146"/>
      <c r="BL25" s="146"/>
      <c r="BM25" s="146"/>
      <c r="BN25" s="146"/>
      <c r="BO25" s="146"/>
      <c r="BP25" s="147"/>
      <c r="BQ25" s="357" t="str">
        <f>IF(CS15="", "-", CS15)</f>
        <v>-</v>
      </c>
      <c r="BR25" s="358"/>
      <c r="BS25" s="358"/>
      <c r="BT25" s="358"/>
      <c r="BU25" s="358"/>
      <c r="BV25" s="358"/>
      <c r="BW25" s="358"/>
      <c r="BX25" s="358"/>
      <c r="BY25" s="358"/>
      <c r="BZ25" s="358"/>
      <c r="CA25" s="358"/>
      <c r="CB25" s="358"/>
      <c r="CC25" s="358"/>
      <c r="CD25" s="358"/>
      <c r="CE25" s="358"/>
      <c r="CF25" s="358"/>
      <c r="CG25" s="358"/>
      <c r="CH25" s="358"/>
      <c r="CI25" s="358"/>
      <c r="CJ25" s="359"/>
      <c r="CK25" s="73"/>
      <c r="CQ25" s="77"/>
      <c r="CR25" s="74" t="s">
        <v>74</v>
      </c>
      <c r="CS25" s="347" t="str">
        <f>IFERROR(
  IF(INDEX(ACC!L:L, MATCH(CS24, ACC!I:I, 0)) = "",
     "-",
     INDEX(ACC!L:L, MATCH(CS24, ACC!I:I, 0))),
  "-"
)</f>
        <v>-</v>
      </c>
      <c r="CT25" s="76"/>
    </row>
    <row r="26" spans="1:98" ht="16.5" customHeight="1">
      <c r="A26" s="125"/>
      <c r="B26" s="126"/>
      <c r="C26" s="126"/>
      <c r="D26" s="127"/>
      <c r="E26" s="115">
        <v>19</v>
      </c>
      <c r="F26" s="166"/>
      <c r="G26" s="53" t="s">
        <v>6</v>
      </c>
      <c r="H26" s="186"/>
      <c r="I26" s="186"/>
      <c r="J26" s="186"/>
      <c r="K26" s="186"/>
      <c r="L26" s="186"/>
      <c r="M26" s="186"/>
      <c r="N26" s="186"/>
      <c r="O26" s="186"/>
      <c r="P26" s="187"/>
      <c r="Q26" s="54"/>
      <c r="R26" s="167" t="s">
        <v>73</v>
      </c>
      <c r="S26" s="167"/>
      <c r="T26" s="168"/>
      <c r="U26" s="169"/>
      <c r="V26" s="170"/>
      <c r="W26" s="170"/>
      <c r="X26" s="171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3"/>
      <c r="AT26" s="150"/>
      <c r="AU26" s="188"/>
      <c r="AV26" s="188"/>
      <c r="AW26" s="189"/>
      <c r="AX26" s="137">
        <v>64</v>
      </c>
      <c r="AY26" s="138"/>
      <c r="AZ26" s="31" t="s">
        <v>6</v>
      </c>
      <c r="BA26" s="85" t="s">
        <v>61</v>
      </c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7"/>
      <c r="BQ26" s="366" t="str">
        <f>IF(CS16="", "-", CS16)</f>
        <v>-</v>
      </c>
      <c r="BR26" s="367"/>
      <c r="BS26" s="367"/>
      <c r="BT26" s="367"/>
      <c r="BU26" s="367"/>
      <c r="BV26" s="367"/>
      <c r="BW26" s="367"/>
      <c r="BX26" s="367"/>
      <c r="BY26" s="367"/>
      <c r="BZ26" s="367"/>
      <c r="CA26" s="367"/>
      <c r="CB26" s="367"/>
      <c r="CC26" s="367"/>
      <c r="CD26" s="367"/>
      <c r="CE26" s="367"/>
      <c r="CF26" s="367"/>
      <c r="CG26" s="367"/>
      <c r="CH26" s="367"/>
      <c r="CI26" s="367"/>
      <c r="CJ26" s="368"/>
      <c r="CK26" s="73"/>
      <c r="CQ26" s="77"/>
      <c r="CR26" s="74" t="s">
        <v>43</v>
      </c>
      <c r="CS26" s="347" t="str">
        <f>IFERROR(
  IF(INDEX(ACC!K:K, MATCH(CS24, ACC!I:I, 0)) = "",
     "-",
     INDEX(ACC!K:K, MATCH(CS24, ACC!I:I, 0))),
  "-"
)</f>
        <v>-</v>
      </c>
      <c r="CT26" s="76"/>
    </row>
    <row r="27" spans="1:98">
      <c r="A27" s="125"/>
      <c r="B27" s="126"/>
      <c r="C27" s="126"/>
      <c r="D27" s="127"/>
      <c r="E27" s="196">
        <v>20</v>
      </c>
      <c r="F27" s="197"/>
      <c r="G27" s="53" t="s">
        <v>6</v>
      </c>
      <c r="H27" s="186" t="s">
        <v>72</v>
      </c>
      <c r="I27" s="186"/>
      <c r="J27" s="186"/>
      <c r="K27" s="186"/>
      <c r="L27" s="186"/>
      <c r="M27" s="186"/>
      <c r="N27" s="186"/>
      <c r="O27" s="186"/>
      <c r="P27" s="187"/>
      <c r="Q27" s="31"/>
      <c r="R27" s="85" t="s">
        <v>69</v>
      </c>
      <c r="S27" s="85"/>
      <c r="T27" s="85"/>
      <c r="U27" s="85"/>
      <c r="V27" s="85"/>
      <c r="W27" s="85"/>
      <c r="X27" s="87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9"/>
      <c r="AK27" s="199"/>
      <c r="AL27" s="199"/>
      <c r="AM27" s="199"/>
      <c r="AN27" s="199"/>
      <c r="AO27" s="199"/>
      <c r="AP27" s="199"/>
      <c r="AQ27" s="199"/>
      <c r="AR27" s="199"/>
      <c r="AS27" s="200"/>
      <c r="AT27" s="150"/>
      <c r="AU27" s="188"/>
      <c r="AV27" s="188"/>
      <c r="AW27" s="189"/>
      <c r="AX27" s="137">
        <v>65</v>
      </c>
      <c r="AY27" s="138"/>
      <c r="AZ27" s="31" t="s">
        <v>6</v>
      </c>
      <c r="BA27" s="85" t="s">
        <v>58</v>
      </c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7"/>
      <c r="BQ27" s="366" t="str">
        <f>IF(CS17="", "-", CS17)</f>
        <v>-</v>
      </c>
      <c r="BR27" s="367"/>
      <c r="BS27" s="367"/>
      <c r="BT27" s="367"/>
      <c r="BU27" s="367"/>
      <c r="BV27" s="367"/>
      <c r="BW27" s="367"/>
      <c r="BX27" s="367"/>
      <c r="BY27" s="367"/>
      <c r="BZ27" s="367"/>
      <c r="CA27" s="367"/>
      <c r="CB27" s="367"/>
      <c r="CC27" s="367"/>
      <c r="CD27" s="367"/>
      <c r="CE27" s="367"/>
      <c r="CF27" s="367"/>
      <c r="CG27" s="367"/>
      <c r="CH27" s="367"/>
      <c r="CI27" s="367"/>
      <c r="CJ27" s="368"/>
      <c r="CK27" s="73"/>
      <c r="CQ27" s="77"/>
      <c r="CR27" s="74" t="s">
        <v>71</v>
      </c>
      <c r="CS27" s="347" t="str">
        <f>IFERROR(
  IF(INDEX(ACC!J:J, MATCH(CS24, ACC!I:I, 0)) = "",
     "-",
     INDEX(ACC!J:J, MATCH(CS24, ACC!I:I, 0))),
  "-"
)</f>
        <v>-</v>
      </c>
      <c r="CT27" s="76"/>
    </row>
    <row r="28" spans="1:98" ht="17.25" customHeight="1" thickBot="1">
      <c r="A28" s="128"/>
      <c r="B28" s="129"/>
      <c r="C28" s="129"/>
      <c r="D28" s="130"/>
      <c r="E28" s="182">
        <v>21</v>
      </c>
      <c r="F28" s="201"/>
      <c r="G28" s="52"/>
      <c r="H28" s="202" t="s">
        <v>70</v>
      </c>
      <c r="I28" s="202"/>
      <c r="J28" s="202"/>
      <c r="K28" s="202"/>
      <c r="L28" s="202"/>
      <c r="M28" s="202"/>
      <c r="N28" s="202"/>
      <c r="O28" s="202"/>
      <c r="P28" s="203"/>
      <c r="Q28" s="27"/>
      <c r="R28" s="90" t="s">
        <v>69</v>
      </c>
      <c r="S28" s="90"/>
      <c r="T28" s="90"/>
      <c r="U28" s="90"/>
      <c r="V28" s="90"/>
      <c r="W28" s="90"/>
      <c r="X28" s="91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204"/>
      <c r="AK28" s="204"/>
      <c r="AL28" s="204"/>
      <c r="AM28" s="204"/>
      <c r="AN28" s="204"/>
      <c r="AO28" s="204"/>
      <c r="AP28" s="204"/>
      <c r="AQ28" s="204"/>
      <c r="AR28" s="204"/>
      <c r="AS28" s="205"/>
      <c r="AT28" s="150"/>
      <c r="AU28" s="188"/>
      <c r="AV28" s="188"/>
      <c r="AW28" s="189"/>
      <c r="AX28" s="206">
        <v>66</v>
      </c>
      <c r="AY28" s="207"/>
      <c r="AZ28" s="51" t="s">
        <v>6</v>
      </c>
      <c r="BA28" s="208" t="s">
        <v>44</v>
      </c>
      <c r="BB28" s="208"/>
      <c r="BC28" s="208"/>
      <c r="BD28" s="208"/>
      <c r="BE28" s="208"/>
      <c r="BF28" s="208"/>
      <c r="BG28" s="208"/>
      <c r="BH28" s="50" t="s">
        <v>6</v>
      </c>
      <c r="BI28" s="208" t="s">
        <v>56</v>
      </c>
      <c r="BJ28" s="208"/>
      <c r="BK28" s="208"/>
      <c r="BL28" s="208"/>
      <c r="BM28" s="208"/>
      <c r="BN28" s="208"/>
      <c r="BO28" s="208"/>
      <c r="BP28" s="209"/>
      <c r="BQ28" s="375" t="str">
        <f>IF(CS14="", "-", CS14)</f>
        <v>-</v>
      </c>
      <c r="BR28" s="376"/>
      <c r="BS28" s="376"/>
      <c r="BT28" s="376"/>
      <c r="BU28" s="376"/>
      <c r="BV28" s="376"/>
      <c r="BW28" s="376"/>
      <c r="BX28" s="376"/>
      <c r="BY28" s="376"/>
      <c r="BZ28" s="377"/>
      <c r="CA28" s="375" t="str">
        <f>IF(CS13="", "-", CS13)</f>
        <v>-</v>
      </c>
      <c r="CB28" s="376"/>
      <c r="CC28" s="376"/>
      <c r="CD28" s="376"/>
      <c r="CE28" s="376"/>
      <c r="CF28" s="376"/>
      <c r="CG28" s="376"/>
      <c r="CH28" s="376"/>
      <c r="CI28" s="376"/>
      <c r="CJ28" s="378"/>
      <c r="CK28" s="73"/>
      <c r="CQ28" s="77"/>
      <c r="CR28" s="75" t="s">
        <v>68</v>
      </c>
      <c r="CS28" s="346" t="s">
        <v>603</v>
      </c>
      <c r="CT28" s="76"/>
    </row>
    <row r="29" spans="1:98">
      <c r="A29" s="122" t="s">
        <v>67</v>
      </c>
      <c r="B29" s="123"/>
      <c r="C29" s="123"/>
      <c r="D29" s="124"/>
      <c r="E29" s="131">
        <v>22</v>
      </c>
      <c r="F29" s="174"/>
      <c r="G29" s="49" t="s">
        <v>6</v>
      </c>
      <c r="H29" s="80" t="s">
        <v>66</v>
      </c>
      <c r="I29" s="80"/>
      <c r="J29" s="80"/>
      <c r="K29" s="80"/>
      <c r="L29" s="80"/>
      <c r="M29" s="80"/>
      <c r="N29" s="80"/>
      <c r="O29" s="80"/>
      <c r="P29" s="217"/>
      <c r="Q29" s="217"/>
      <c r="R29" s="217"/>
      <c r="S29" s="217"/>
      <c r="T29" s="217"/>
      <c r="U29" s="217"/>
      <c r="V29" s="217"/>
      <c r="W29" s="217"/>
      <c r="X29" s="218"/>
      <c r="Y29" s="219">
        <v>2</v>
      </c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20"/>
      <c r="AT29" s="221" t="s">
        <v>65</v>
      </c>
      <c r="AU29" s="222"/>
      <c r="AV29" s="222"/>
      <c r="AW29" s="223"/>
      <c r="AX29" s="139">
        <v>67</v>
      </c>
      <c r="AY29" s="140"/>
      <c r="AZ29" s="49" t="s">
        <v>6</v>
      </c>
      <c r="BA29" s="80" t="s">
        <v>64</v>
      </c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141"/>
      <c r="BQ29" s="357" t="str">
        <f>CS21</f>
        <v>-</v>
      </c>
      <c r="BR29" s="358"/>
      <c r="BS29" s="358"/>
      <c r="BT29" s="358"/>
      <c r="BU29" s="358"/>
      <c r="BV29" s="358"/>
      <c r="BW29" s="358"/>
      <c r="BX29" s="358"/>
      <c r="BY29" s="358"/>
      <c r="BZ29" s="358"/>
      <c r="CA29" s="358"/>
      <c r="CB29" s="358"/>
      <c r="CC29" s="358"/>
      <c r="CD29" s="358"/>
      <c r="CE29" s="358"/>
      <c r="CF29" s="358"/>
      <c r="CG29" s="358"/>
      <c r="CH29" s="358"/>
      <c r="CI29" s="358"/>
      <c r="CJ29" s="359"/>
      <c r="CK29" s="73"/>
      <c r="CQ29" s="77"/>
      <c r="CR29" s="74" t="s">
        <v>43</v>
      </c>
      <c r="CS29" s="347" t="str">
        <f>IFERROR(
  IF(INDEX(ACC!AH:AH, MATCH(CS28, ACC!AG:AG, 0)) = "",
     "-",
     INDEX(ACC!AH:AH, MATCH(CS28, ACC!AG:AG, 0))),
  "-"
)</f>
        <v>-</v>
      </c>
      <c r="CT29" s="76"/>
    </row>
    <row r="30" spans="1:98">
      <c r="A30" s="125"/>
      <c r="B30" s="126"/>
      <c r="C30" s="126"/>
      <c r="D30" s="127"/>
      <c r="E30" s="115">
        <v>23</v>
      </c>
      <c r="F30" s="166"/>
      <c r="G30" s="31" t="s">
        <v>6</v>
      </c>
      <c r="H30" s="85" t="s">
        <v>63</v>
      </c>
      <c r="I30" s="85"/>
      <c r="J30" s="85"/>
      <c r="K30" s="85"/>
      <c r="L30" s="85"/>
      <c r="M30" s="85"/>
      <c r="N30" s="85"/>
      <c r="O30" s="85"/>
      <c r="P30" s="85"/>
      <c r="Q30" s="31"/>
      <c r="R30" s="210" t="s">
        <v>62</v>
      </c>
      <c r="S30" s="210"/>
      <c r="T30" s="210"/>
      <c r="U30" s="210"/>
      <c r="V30" s="210"/>
      <c r="W30" s="210"/>
      <c r="X30" s="211"/>
      <c r="Y30" s="212">
        <v>5</v>
      </c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>
        <v>126</v>
      </c>
      <c r="AK30" s="212"/>
      <c r="AL30" s="212"/>
      <c r="AM30" s="212"/>
      <c r="AN30" s="212"/>
      <c r="AO30" s="212"/>
      <c r="AP30" s="212"/>
      <c r="AQ30" s="212"/>
      <c r="AR30" s="212"/>
      <c r="AS30" s="213"/>
      <c r="AT30" s="150"/>
      <c r="AU30" s="188"/>
      <c r="AV30" s="188"/>
      <c r="AW30" s="189"/>
      <c r="AX30" s="137">
        <v>68</v>
      </c>
      <c r="AY30" s="138"/>
      <c r="AZ30" s="31" t="s">
        <v>6</v>
      </c>
      <c r="BA30" s="85" t="s">
        <v>61</v>
      </c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7"/>
      <c r="BQ30" s="366" t="str">
        <f>CS22</f>
        <v>-</v>
      </c>
      <c r="BR30" s="367"/>
      <c r="BS30" s="367"/>
      <c r="BT30" s="367"/>
      <c r="BU30" s="367"/>
      <c r="BV30" s="367"/>
      <c r="BW30" s="367"/>
      <c r="BX30" s="367"/>
      <c r="BY30" s="367"/>
      <c r="BZ30" s="367"/>
      <c r="CA30" s="367"/>
      <c r="CB30" s="367"/>
      <c r="CC30" s="367"/>
      <c r="CD30" s="367"/>
      <c r="CE30" s="367"/>
      <c r="CF30" s="367"/>
      <c r="CG30" s="367"/>
      <c r="CH30" s="367"/>
      <c r="CI30" s="367"/>
      <c r="CJ30" s="368"/>
      <c r="CK30" s="73"/>
      <c r="CQ30" s="77"/>
      <c r="CR30" s="75" t="s">
        <v>60</v>
      </c>
      <c r="CS30" s="346" t="s">
        <v>603</v>
      </c>
      <c r="CT30" s="76"/>
    </row>
    <row r="31" spans="1:98">
      <c r="A31" s="125"/>
      <c r="B31" s="126"/>
      <c r="C31" s="126"/>
      <c r="D31" s="127"/>
      <c r="E31" s="115">
        <v>24</v>
      </c>
      <c r="F31" s="166"/>
      <c r="G31" s="31" t="s">
        <v>6</v>
      </c>
      <c r="H31" s="85" t="s">
        <v>59</v>
      </c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7"/>
      <c r="Y31" s="214">
        <v>69</v>
      </c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6"/>
      <c r="AT31" s="150"/>
      <c r="AU31" s="188"/>
      <c r="AV31" s="188"/>
      <c r="AW31" s="189"/>
      <c r="AX31" s="137">
        <v>69</v>
      </c>
      <c r="AY31" s="138"/>
      <c r="AZ31" s="31" t="s">
        <v>6</v>
      </c>
      <c r="BA31" s="85" t="s">
        <v>58</v>
      </c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7"/>
      <c r="BQ31" s="366" t="str">
        <f>CS23</f>
        <v>-</v>
      </c>
      <c r="BR31" s="367"/>
      <c r="BS31" s="367"/>
      <c r="BT31" s="367"/>
      <c r="BU31" s="367"/>
      <c r="BV31" s="367"/>
      <c r="BW31" s="367"/>
      <c r="BX31" s="367"/>
      <c r="BY31" s="367"/>
      <c r="BZ31" s="367"/>
      <c r="CA31" s="367"/>
      <c r="CB31" s="367"/>
      <c r="CC31" s="367"/>
      <c r="CD31" s="367"/>
      <c r="CE31" s="367"/>
      <c r="CF31" s="367"/>
      <c r="CG31" s="367"/>
      <c r="CH31" s="367"/>
      <c r="CI31" s="367"/>
      <c r="CJ31" s="368"/>
      <c r="CK31" s="73"/>
      <c r="CQ31" s="48"/>
      <c r="CR31" s="74" t="s">
        <v>43</v>
      </c>
      <c r="CS31" s="347" t="str">
        <f>IFERROR(
  IF(INDEX(ACC!AE:AE, MATCH(CS30, ACC!AF:AF, 0)) = "",
     "-",
     INDEX(ACC!AE:AE, MATCH(CS30, ACC!AF:AF, 0))),
  "-"
)</f>
        <v>-</v>
      </c>
      <c r="CT31" s="41"/>
    </row>
    <row r="32" spans="1:98" ht="17.25" customHeight="1" thickBot="1">
      <c r="A32" s="125"/>
      <c r="B32" s="126"/>
      <c r="C32" s="126"/>
      <c r="D32" s="127"/>
      <c r="E32" s="115">
        <v>25</v>
      </c>
      <c r="F32" s="166"/>
      <c r="G32" s="31" t="s">
        <v>6</v>
      </c>
      <c r="H32" s="85" t="s">
        <v>57</v>
      </c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7"/>
      <c r="Y32" s="214">
        <v>125</v>
      </c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6"/>
      <c r="AT32" s="224"/>
      <c r="AU32" s="225"/>
      <c r="AV32" s="225"/>
      <c r="AW32" s="226"/>
      <c r="AX32" s="148">
        <v>70</v>
      </c>
      <c r="AY32" s="149"/>
      <c r="AZ32" s="27" t="s">
        <v>6</v>
      </c>
      <c r="BA32" s="90" t="s">
        <v>44</v>
      </c>
      <c r="BB32" s="90"/>
      <c r="BC32" s="90"/>
      <c r="BD32" s="90"/>
      <c r="BE32" s="90"/>
      <c r="BF32" s="90"/>
      <c r="BG32" s="90"/>
      <c r="BH32" s="43" t="s">
        <v>6</v>
      </c>
      <c r="BI32" s="90" t="s">
        <v>56</v>
      </c>
      <c r="BJ32" s="90"/>
      <c r="BK32" s="90"/>
      <c r="BL32" s="90"/>
      <c r="BM32" s="90"/>
      <c r="BN32" s="90"/>
      <c r="BO32" s="90"/>
      <c r="BP32" s="91"/>
      <c r="BQ32" s="379" t="str">
        <f>CS20</f>
        <v>-</v>
      </c>
      <c r="BR32" s="380"/>
      <c r="BS32" s="380"/>
      <c r="BT32" s="380"/>
      <c r="BU32" s="380"/>
      <c r="BV32" s="380"/>
      <c r="BW32" s="380"/>
      <c r="BX32" s="380"/>
      <c r="BY32" s="380"/>
      <c r="BZ32" s="381"/>
      <c r="CA32" s="379" t="str">
        <f>CS19</f>
        <v>-</v>
      </c>
      <c r="CB32" s="380"/>
      <c r="CC32" s="380"/>
      <c r="CD32" s="380"/>
      <c r="CE32" s="380"/>
      <c r="CF32" s="380"/>
      <c r="CG32" s="380"/>
      <c r="CH32" s="380"/>
      <c r="CI32" s="380"/>
      <c r="CJ32" s="382"/>
      <c r="CK32" s="73"/>
      <c r="CQ32" s="47"/>
      <c r="CR32" s="75" t="s">
        <v>55</v>
      </c>
      <c r="CS32" s="346" t="s">
        <v>603</v>
      </c>
      <c r="CT32" s="41"/>
    </row>
    <row r="33" spans="1:98">
      <c r="A33" s="125"/>
      <c r="B33" s="126"/>
      <c r="C33" s="126"/>
      <c r="D33" s="127"/>
      <c r="E33" s="115">
        <v>26</v>
      </c>
      <c r="F33" s="166"/>
      <c r="G33" s="46"/>
      <c r="H33" s="85" t="s">
        <v>54</v>
      </c>
      <c r="I33" s="85"/>
      <c r="J33" s="85"/>
      <c r="K33" s="85"/>
      <c r="L33" s="85"/>
      <c r="M33" s="85"/>
      <c r="N33" s="85"/>
      <c r="O33" s="85"/>
      <c r="P33" s="85"/>
      <c r="Q33" s="45"/>
      <c r="R33" s="227" t="s">
        <v>53</v>
      </c>
      <c r="S33" s="227"/>
      <c r="T33" s="227"/>
      <c r="U33" s="227"/>
      <c r="V33" s="227"/>
      <c r="W33" s="227"/>
      <c r="X33" s="228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29"/>
      <c r="AK33" s="229"/>
      <c r="AL33" s="229"/>
      <c r="AM33" s="229"/>
      <c r="AN33" s="229"/>
      <c r="AO33" s="229"/>
      <c r="AP33" s="229"/>
      <c r="AQ33" s="229"/>
      <c r="AR33" s="229"/>
      <c r="AS33" s="230"/>
      <c r="AT33" s="151" t="s">
        <v>52</v>
      </c>
      <c r="AU33" s="152"/>
      <c r="AV33" s="152"/>
      <c r="AW33" s="153"/>
      <c r="AX33" s="144">
        <v>71</v>
      </c>
      <c r="AY33" s="145"/>
      <c r="AZ33" s="30" t="s">
        <v>6</v>
      </c>
      <c r="BA33" s="186" t="s">
        <v>48</v>
      </c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7"/>
      <c r="BQ33" s="383" t="str">
        <f>CS34</f>
        <v>-</v>
      </c>
      <c r="BR33" s="384"/>
      <c r="BS33" s="384"/>
      <c r="BT33" s="384"/>
      <c r="BU33" s="384"/>
      <c r="BV33" s="384"/>
      <c r="BW33" s="384"/>
      <c r="BX33" s="384"/>
      <c r="BY33" s="384"/>
      <c r="BZ33" s="384"/>
      <c r="CA33" s="384"/>
      <c r="CB33" s="384"/>
      <c r="CC33" s="384"/>
      <c r="CD33" s="384"/>
      <c r="CE33" s="384"/>
      <c r="CF33" s="384"/>
      <c r="CG33" s="384"/>
      <c r="CH33" s="384"/>
      <c r="CI33" s="384"/>
      <c r="CJ33" s="385"/>
      <c r="CK33" s="73"/>
      <c r="CQ33" s="42"/>
      <c r="CR33" s="74" t="s">
        <v>43</v>
      </c>
      <c r="CS33" s="347" t="str">
        <f>IFERROR(
  IF(INDEX(ACC!AA:AA, MATCH(CS32, ACC!Y:Y, 0)) = "",
     "-",
     INDEX(ACC!AA:AA, MATCH(CS32, ACC!Y:Y, 0))),
  "-"
)</f>
        <v>-</v>
      </c>
      <c r="CT33" s="41"/>
    </row>
    <row r="34" spans="1:98" ht="17.25" thickBot="1">
      <c r="A34" s="125"/>
      <c r="B34" s="126"/>
      <c r="C34" s="126"/>
      <c r="D34" s="127"/>
      <c r="E34" s="115">
        <v>27</v>
      </c>
      <c r="F34" s="166"/>
      <c r="G34" s="44"/>
      <c r="H34" s="85" t="s">
        <v>51</v>
      </c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7"/>
      <c r="Y34" s="214">
        <v>157</v>
      </c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6"/>
      <c r="AT34" s="154"/>
      <c r="AU34" s="155"/>
      <c r="AV34" s="155"/>
      <c r="AW34" s="156"/>
      <c r="AX34" s="148">
        <v>72</v>
      </c>
      <c r="AY34" s="149"/>
      <c r="AZ34" s="43" t="s">
        <v>6</v>
      </c>
      <c r="BA34" s="90" t="s">
        <v>44</v>
      </c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1"/>
      <c r="BQ34" s="379" t="str">
        <f>CS33</f>
        <v>-</v>
      </c>
      <c r="BR34" s="380"/>
      <c r="BS34" s="380"/>
      <c r="BT34" s="380"/>
      <c r="BU34" s="380"/>
      <c r="BV34" s="380"/>
      <c r="BW34" s="380"/>
      <c r="BX34" s="380"/>
      <c r="BY34" s="380"/>
      <c r="BZ34" s="380"/>
      <c r="CA34" s="380"/>
      <c r="CB34" s="380"/>
      <c r="CC34" s="380"/>
      <c r="CD34" s="380"/>
      <c r="CE34" s="380"/>
      <c r="CF34" s="380"/>
      <c r="CG34" s="380"/>
      <c r="CH34" s="380"/>
      <c r="CI34" s="380"/>
      <c r="CJ34" s="382"/>
      <c r="CK34" s="73"/>
      <c r="CQ34" s="42"/>
      <c r="CR34" s="74" t="s">
        <v>39</v>
      </c>
      <c r="CS34" s="347" t="str">
        <f>IFERROR(
  IF(INDEX(ACC!Z:Z, MATCH(CS32, ACC!Y:Y, 0)) = "",
     "-",
     INDEX(ACC!Z:Z, MATCH(CS32, ACC!Y:Y, 0))),
  "-"
)</f>
        <v>-</v>
      </c>
      <c r="CT34" s="41"/>
    </row>
    <row r="35" spans="1:98">
      <c r="A35" s="125"/>
      <c r="B35" s="126"/>
      <c r="C35" s="126"/>
      <c r="D35" s="127"/>
      <c r="E35" s="115">
        <v>28</v>
      </c>
      <c r="F35" s="166"/>
      <c r="G35" s="31" t="s">
        <v>6</v>
      </c>
      <c r="H35" s="85" t="s">
        <v>50</v>
      </c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7"/>
      <c r="Y35" s="214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6"/>
      <c r="AT35" s="235" t="s">
        <v>49</v>
      </c>
      <c r="AU35" s="236"/>
      <c r="AV35" s="236"/>
      <c r="AW35" s="237"/>
      <c r="AX35" s="144">
        <v>73</v>
      </c>
      <c r="AY35" s="145"/>
      <c r="AZ35" s="30" t="s">
        <v>6</v>
      </c>
      <c r="BA35" s="146" t="s">
        <v>48</v>
      </c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7"/>
      <c r="BQ35" s="386" t="str">
        <f>CS37</f>
        <v>-</v>
      </c>
      <c r="BR35" s="387"/>
      <c r="BS35" s="387"/>
      <c r="BT35" s="387"/>
      <c r="BU35" s="387"/>
      <c r="BV35" s="387"/>
      <c r="BW35" s="387"/>
      <c r="BX35" s="387"/>
      <c r="BY35" s="387"/>
      <c r="BZ35" s="387"/>
      <c r="CA35" s="387"/>
      <c r="CB35" s="387"/>
      <c r="CC35" s="387"/>
      <c r="CD35" s="387"/>
      <c r="CE35" s="387"/>
      <c r="CF35" s="387"/>
      <c r="CG35" s="387"/>
      <c r="CH35" s="387"/>
      <c r="CI35" s="387"/>
      <c r="CJ35" s="388"/>
      <c r="CK35" s="73"/>
      <c r="CQ35" s="42"/>
      <c r="CR35" s="75" t="s">
        <v>47</v>
      </c>
      <c r="CS35" s="346" t="s">
        <v>603</v>
      </c>
      <c r="CT35" s="41"/>
    </row>
    <row r="36" spans="1:98" ht="17.25" thickBot="1">
      <c r="A36" s="125"/>
      <c r="B36" s="126"/>
      <c r="C36" s="126"/>
      <c r="D36" s="127"/>
      <c r="E36" s="115">
        <v>29</v>
      </c>
      <c r="F36" s="166"/>
      <c r="G36" s="37"/>
      <c r="H36" s="208" t="s">
        <v>46</v>
      </c>
      <c r="I36" s="208"/>
      <c r="J36" s="208"/>
      <c r="K36" s="208"/>
      <c r="L36" s="208"/>
      <c r="M36" s="208"/>
      <c r="N36" s="208"/>
      <c r="O36" s="208"/>
      <c r="P36" s="209"/>
      <c r="Q36" s="36"/>
      <c r="R36" s="233" t="s">
        <v>45</v>
      </c>
      <c r="S36" s="233"/>
      <c r="T36" s="233"/>
      <c r="U36" s="233"/>
      <c r="V36" s="233"/>
      <c r="W36" s="233"/>
      <c r="X36" s="234"/>
      <c r="Y36" s="214">
        <v>6</v>
      </c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2"/>
      <c r="AT36" s="238"/>
      <c r="AU36" s="239"/>
      <c r="AV36" s="239"/>
      <c r="AW36" s="240"/>
      <c r="AX36" s="148">
        <v>74</v>
      </c>
      <c r="AY36" s="149"/>
      <c r="AZ36" s="43" t="s">
        <v>6</v>
      </c>
      <c r="BA36" s="90" t="s">
        <v>44</v>
      </c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1"/>
      <c r="BQ36" s="379" t="str">
        <f>CS36</f>
        <v>-</v>
      </c>
      <c r="BR36" s="380"/>
      <c r="BS36" s="380"/>
      <c r="BT36" s="380"/>
      <c r="BU36" s="380"/>
      <c r="BV36" s="380"/>
      <c r="BW36" s="380"/>
      <c r="BX36" s="380"/>
      <c r="BY36" s="380"/>
      <c r="BZ36" s="380"/>
      <c r="CA36" s="380"/>
      <c r="CB36" s="380"/>
      <c r="CC36" s="380"/>
      <c r="CD36" s="380"/>
      <c r="CE36" s="380"/>
      <c r="CF36" s="380"/>
      <c r="CG36" s="380"/>
      <c r="CH36" s="380"/>
      <c r="CI36" s="380"/>
      <c r="CJ36" s="382"/>
      <c r="CK36" s="73"/>
      <c r="CQ36" s="42"/>
      <c r="CR36" s="74" t="s">
        <v>43</v>
      </c>
      <c r="CS36" s="347" t="str">
        <f>IFERROR(
  IF(INDEX(ACC!AD:AD, MATCH(CS35, ACC!AB:AB, 0)) = "",
     "-",
     INDEX(ACC!AD:AD, MATCH(CS35, ACC!AB:AB, 0))),
  "-"
)</f>
        <v>-</v>
      </c>
      <c r="CT36" s="41"/>
    </row>
    <row r="37" spans="1:98">
      <c r="A37" s="125"/>
      <c r="B37" s="126"/>
      <c r="C37" s="126"/>
      <c r="D37" s="127"/>
      <c r="E37" s="115">
        <v>30</v>
      </c>
      <c r="F37" s="166"/>
      <c r="G37" s="37"/>
      <c r="H37" s="241"/>
      <c r="I37" s="241"/>
      <c r="J37" s="241"/>
      <c r="K37" s="241"/>
      <c r="L37" s="241"/>
      <c r="M37" s="241"/>
      <c r="N37" s="241"/>
      <c r="O37" s="241"/>
      <c r="P37" s="242"/>
      <c r="Q37" s="36"/>
      <c r="R37" s="233" t="s">
        <v>42</v>
      </c>
      <c r="S37" s="233"/>
      <c r="T37" s="233"/>
      <c r="U37" s="233"/>
      <c r="V37" s="233"/>
      <c r="W37" s="233"/>
      <c r="X37" s="234"/>
      <c r="Y37" s="214">
        <v>7</v>
      </c>
      <c r="Z37" s="231"/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1"/>
      <c r="AQ37" s="231"/>
      <c r="AR37" s="231"/>
      <c r="AS37" s="232"/>
      <c r="AT37" s="150" t="s">
        <v>41</v>
      </c>
      <c r="AU37" s="188"/>
      <c r="AV37" s="188"/>
      <c r="AW37" s="189"/>
      <c r="AX37" s="144">
        <v>75</v>
      </c>
      <c r="AY37" s="145"/>
      <c r="AZ37" s="30" t="s">
        <v>6</v>
      </c>
      <c r="BA37" s="146" t="s">
        <v>40</v>
      </c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7"/>
      <c r="BQ37" s="386" t="str">
        <f>CS31</f>
        <v>-</v>
      </c>
      <c r="BR37" s="387"/>
      <c r="BS37" s="387"/>
      <c r="BT37" s="387"/>
      <c r="BU37" s="387"/>
      <c r="BV37" s="387"/>
      <c r="BW37" s="387"/>
      <c r="BX37" s="387"/>
      <c r="BY37" s="387"/>
      <c r="BZ37" s="387"/>
      <c r="CA37" s="387"/>
      <c r="CB37" s="387"/>
      <c r="CC37" s="387"/>
      <c r="CD37" s="387"/>
      <c r="CE37" s="387"/>
      <c r="CF37" s="387"/>
      <c r="CG37" s="387"/>
      <c r="CH37" s="387"/>
      <c r="CI37" s="387"/>
      <c r="CJ37" s="388"/>
      <c r="CK37" s="73"/>
      <c r="CQ37" s="42"/>
      <c r="CR37" s="74" t="s">
        <v>39</v>
      </c>
      <c r="CS37" s="347" t="str">
        <f>IFERROR(
  IF(INDEX(ACC!AC:AC, MATCH(CS35, ACC!AB:AB, 0)) = "",
     "-",
     INDEX(ACC!AC:AC, MATCH(CS35, ACC!AB:AB, 0))),
  "-"
)</f>
        <v>-</v>
      </c>
      <c r="CT37" s="41"/>
    </row>
    <row r="38" spans="1:98" ht="17.25" thickBot="1">
      <c r="A38" s="125"/>
      <c r="B38" s="126"/>
      <c r="C38" s="126"/>
      <c r="D38" s="127"/>
      <c r="E38" s="115">
        <v>31</v>
      </c>
      <c r="F38" s="166"/>
      <c r="G38" s="37"/>
      <c r="H38" s="241"/>
      <c r="I38" s="241"/>
      <c r="J38" s="241"/>
      <c r="K38" s="241"/>
      <c r="L38" s="241"/>
      <c r="M38" s="241"/>
      <c r="N38" s="241"/>
      <c r="O38" s="241"/>
      <c r="P38" s="242"/>
      <c r="Q38" s="36" t="s">
        <v>6</v>
      </c>
      <c r="R38" s="233" t="s">
        <v>38</v>
      </c>
      <c r="S38" s="233"/>
      <c r="T38" s="233"/>
      <c r="U38" s="233"/>
      <c r="V38" s="233"/>
      <c r="W38" s="233"/>
      <c r="X38" s="234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30"/>
      <c r="AT38" s="150"/>
      <c r="AU38" s="188"/>
      <c r="AV38" s="188"/>
      <c r="AW38" s="189"/>
      <c r="AX38" s="137">
        <v>76</v>
      </c>
      <c r="AY38" s="138"/>
      <c r="AZ38" s="31" t="s">
        <v>6</v>
      </c>
      <c r="BA38" s="85" t="s">
        <v>37</v>
      </c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7"/>
      <c r="BQ38" s="360"/>
      <c r="BR38" s="361"/>
      <c r="BS38" s="361"/>
      <c r="BT38" s="361"/>
      <c r="BU38" s="361"/>
      <c r="BV38" s="361"/>
      <c r="BW38" s="361"/>
      <c r="BX38" s="361"/>
      <c r="BY38" s="361"/>
      <c r="BZ38" s="361"/>
      <c r="CA38" s="361"/>
      <c r="CB38" s="361"/>
      <c r="CC38" s="361"/>
      <c r="CD38" s="361"/>
      <c r="CE38" s="361"/>
      <c r="CF38" s="361"/>
      <c r="CG38" s="361"/>
      <c r="CH38" s="361"/>
      <c r="CI38" s="361"/>
      <c r="CJ38" s="362"/>
      <c r="CK38" s="73"/>
      <c r="CQ38" s="40"/>
      <c r="CR38" s="39"/>
      <c r="CS38" s="39"/>
      <c r="CT38" s="38"/>
    </row>
    <row r="39" spans="1:98">
      <c r="A39" s="125"/>
      <c r="B39" s="126"/>
      <c r="C39" s="126"/>
      <c r="D39" s="127"/>
      <c r="E39" s="115">
        <v>32</v>
      </c>
      <c r="F39" s="166"/>
      <c r="G39" s="37"/>
      <c r="H39" s="241"/>
      <c r="I39" s="241"/>
      <c r="J39" s="241"/>
      <c r="K39" s="241"/>
      <c r="L39" s="241"/>
      <c r="M39" s="241"/>
      <c r="N39" s="241"/>
      <c r="O39" s="241"/>
      <c r="P39" s="242"/>
      <c r="Q39" s="36"/>
      <c r="R39" s="233" t="s">
        <v>36</v>
      </c>
      <c r="S39" s="233"/>
      <c r="T39" s="233"/>
      <c r="U39" s="233"/>
      <c r="V39" s="233"/>
      <c r="W39" s="233"/>
      <c r="X39" s="234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30"/>
      <c r="AT39" s="150"/>
      <c r="AU39" s="188"/>
      <c r="AV39" s="188"/>
      <c r="AW39" s="189"/>
      <c r="AX39" s="137">
        <v>77</v>
      </c>
      <c r="AY39" s="138"/>
      <c r="AZ39" s="31" t="s">
        <v>6</v>
      </c>
      <c r="BA39" s="85" t="s">
        <v>35</v>
      </c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7"/>
      <c r="BQ39" s="360"/>
      <c r="BR39" s="361"/>
      <c r="BS39" s="361"/>
      <c r="BT39" s="361"/>
      <c r="BU39" s="361"/>
      <c r="BV39" s="361"/>
      <c r="BW39" s="361"/>
      <c r="BX39" s="361"/>
      <c r="BY39" s="361"/>
      <c r="BZ39" s="361"/>
      <c r="CA39" s="361"/>
      <c r="CB39" s="361"/>
      <c r="CC39" s="361"/>
      <c r="CD39" s="361"/>
      <c r="CE39" s="361"/>
      <c r="CF39" s="361"/>
      <c r="CG39" s="361"/>
      <c r="CH39" s="361"/>
      <c r="CI39" s="361"/>
      <c r="CJ39" s="362"/>
      <c r="CK39" s="73"/>
    </row>
    <row r="40" spans="1:98">
      <c r="A40" s="125"/>
      <c r="B40" s="126"/>
      <c r="C40" s="126"/>
      <c r="D40" s="127"/>
      <c r="E40" s="115">
        <v>33</v>
      </c>
      <c r="F40" s="166"/>
      <c r="G40" s="30"/>
      <c r="H40" s="146"/>
      <c r="I40" s="146"/>
      <c r="J40" s="146"/>
      <c r="K40" s="146"/>
      <c r="L40" s="146"/>
      <c r="M40" s="146"/>
      <c r="N40" s="146"/>
      <c r="O40" s="146"/>
      <c r="P40" s="147"/>
      <c r="Q40" s="36"/>
      <c r="R40" s="233"/>
      <c r="S40" s="233"/>
      <c r="T40" s="233"/>
      <c r="U40" s="233"/>
      <c r="V40" s="233"/>
      <c r="W40" s="233"/>
      <c r="X40" s="234"/>
      <c r="Y40" s="229"/>
      <c r="Z40" s="229"/>
      <c r="AA40" s="229"/>
      <c r="AB40" s="229"/>
      <c r="AC40" s="229"/>
      <c r="AD40" s="229"/>
      <c r="AE40" s="229"/>
      <c r="AF40" s="229"/>
      <c r="AG40" s="229"/>
      <c r="AH40" s="229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30"/>
      <c r="AT40" s="150"/>
      <c r="AU40" s="188"/>
      <c r="AV40" s="188"/>
      <c r="AW40" s="189"/>
      <c r="AX40" s="137">
        <v>78</v>
      </c>
      <c r="AY40" s="138"/>
      <c r="AZ40" s="31" t="s">
        <v>6</v>
      </c>
      <c r="BA40" s="85" t="s">
        <v>34</v>
      </c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7"/>
      <c r="BQ40" s="360" t="str">
        <f>CS29</f>
        <v>-</v>
      </c>
      <c r="BR40" s="361"/>
      <c r="BS40" s="361"/>
      <c r="BT40" s="361"/>
      <c r="BU40" s="361"/>
      <c r="BV40" s="361"/>
      <c r="BW40" s="361"/>
      <c r="BX40" s="361"/>
      <c r="BY40" s="361"/>
      <c r="BZ40" s="361"/>
      <c r="CA40" s="361"/>
      <c r="CB40" s="361"/>
      <c r="CC40" s="361"/>
      <c r="CD40" s="361"/>
      <c r="CE40" s="361"/>
      <c r="CF40" s="361"/>
      <c r="CG40" s="361"/>
      <c r="CH40" s="361"/>
      <c r="CI40" s="361"/>
      <c r="CJ40" s="362"/>
      <c r="CK40" s="73"/>
    </row>
    <row r="41" spans="1:98">
      <c r="A41" s="125"/>
      <c r="B41" s="126"/>
      <c r="C41" s="126"/>
      <c r="D41" s="127"/>
      <c r="E41" s="115">
        <v>34</v>
      </c>
      <c r="F41" s="166"/>
      <c r="G41" s="30"/>
      <c r="H41" s="210" t="s">
        <v>33</v>
      </c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1"/>
      <c r="Y41" s="229" t="s">
        <v>32</v>
      </c>
      <c r="Z41" s="229"/>
      <c r="AA41" s="229"/>
      <c r="AB41" s="229"/>
      <c r="AC41" s="229"/>
      <c r="AD41" s="229"/>
      <c r="AE41" s="229"/>
      <c r="AF41" s="229"/>
      <c r="AG41" s="229"/>
      <c r="AH41" s="229"/>
      <c r="AI41" s="229"/>
      <c r="AJ41" s="229"/>
      <c r="AK41" s="229"/>
      <c r="AL41" s="229"/>
      <c r="AM41" s="229"/>
      <c r="AN41" s="229"/>
      <c r="AO41" s="229"/>
      <c r="AP41" s="229"/>
      <c r="AQ41" s="229"/>
      <c r="AR41" s="229"/>
      <c r="AS41" s="230"/>
      <c r="AT41" s="150"/>
      <c r="AU41" s="188"/>
      <c r="AV41" s="188"/>
      <c r="AW41" s="189"/>
      <c r="AX41" s="137">
        <v>79</v>
      </c>
      <c r="AY41" s="138"/>
      <c r="AZ41" s="31" t="s">
        <v>6</v>
      </c>
      <c r="BA41" s="85" t="s">
        <v>31</v>
      </c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7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/>
      <c r="CB41" s="120"/>
      <c r="CC41" s="120"/>
      <c r="CD41" s="120"/>
      <c r="CE41" s="120"/>
      <c r="CF41" s="120"/>
      <c r="CG41" s="120"/>
      <c r="CH41" s="120"/>
      <c r="CI41" s="120"/>
      <c r="CJ41" s="121"/>
      <c r="CK41" s="73"/>
    </row>
    <row r="42" spans="1:98">
      <c r="A42" s="125"/>
      <c r="B42" s="126"/>
      <c r="C42" s="126"/>
      <c r="D42" s="127"/>
      <c r="E42" s="115">
        <v>35</v>
      </c>
      <c r="F42" s="166"/>
      <c r="G42" s="31" t="s">
        <v>6</v>
      </c>
      <c r="H42" s="85" t="s">
        <v>30</v>
      </c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7"/>
      <c r="Y42" s="229" t="s">
        <v>29</v>
      </c>
      <c r="Z42" s="229"/>
      <c r="AA42" s="229"/>
      <c r="AB42" s="229"/>
      <c r="AC42" s="229"/>
      <c r="AD42" s="229"/>
      <c r="AE42" s="229"/>
      <c r="AF42" s="229"/>
      <c r="AG42" s="229"/>
      <c r="AH42" s="229"/>
      <c r="AI42" s="229"/>
      <c r="AJ42" s="229"/>
      <c r="AK42" s="229"/>
      <c r="AL42" s="229"/>
      <c r="AM42" s="229"/>
      <c r="AN42" s="229"/>
      <c r="AO42" s="229"/>
      <c r="AP42" s="229"/>
      <c r="AQ42" s="229"/>
      <c r="AR42" s="229"/>
      <c r="AS42" s="230"/>
      <c r="AT42" s="150"/>
      <c r="AU42" s="188"/>
      <c r="AV42" s="188"/>
      <c r="AW42" s="189"/>
      <c r="AX42" s="137">
        <v>80</v>
      </c>
      <c r="AY42" s="138"/>
      <c r="AZ42" s="31" t="s">
        <v>6</v>
      </c>
      <c r="BA42" s="85" t="s">
        <v>28</v>
      </c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7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0"/>
      <c r="CG42" s="120"/>
      <c r="CH42" s="120"/>
      <c r="CI42" s="120"/>
      <c r="CJ42" s="121"/>
      <c r="CK42" s="73"/>
    </row>
    <row r="43" spans="1:98" ht="17.25" thickBot="1">
      <c r="A43" s="125"/>
      <c r="B43" s="126"/>
      <c r="C43" s="126"/>
      <c r="D43" s="127"/>
      <c r="E43" s="115">
        <v>36</v>
      </c>
      <c r="F43" s="166"/>
      <c r="G43" s="31" t="s">
        <v>6</v>
      </c>
      <c r="H43" s="85" t="s">
        <v>27</v>
      </c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7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3"/>
      <c r="AT43" s="224"/>
      <c r="AU43" s="225"/>
      <c r="AV43" s="225"/>
      <c r="AW43" s="226"/>
      <c r="AX43" s="148">
        <v>81</v>
      </c>
      <c r="AY43" s="149"/>
      <c r="AZ43" s="27" t="s">
        <v>6</v>
      </c>
      <c r="BA43" s="90" t="s">
        <v>26</v>
      </c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1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0"/>
      <c r="CB43" s="120"/>
      <c r="CC43" s="120"/>
      <c r="CD43" s="120"/>
      <c r="CE43" s="120"/>
      <c r="CF43" s="120"/>
      <c r="CG43" s="120"/>
      <c r="CH43" s="120"/>
      <c r="CI43" s="120"/>
      <c r="CJ43" s="121"/>
      <c r="CK43" s="73"/>
    </row>
    <row r="44" spans="1:98">
      <c r="A44" s="125"/>
      <c r="B44" s="126"/>
      <c r="C44" s="126"/>
      <c r="D44" s="127"/>
      <c r="E44" s="115">
        <v>37</v>
      </c>
      <c r="F44" s="166"/>
      <c r="G44" s="31" t="s">
        <v>6</v>
      </c>
      <c r="H44" s="85" t="s">
        <v>25</v>
      </c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7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  <c r="AR44" s="243"/>
      <c r="AS44" s="244"/>
      <c r="AT44" s="245" t="s">
        <v>24</v>
      </c>
      <c r="AU44" s="246"/>
      <c r="AV44" s="246"/>
      <c r="AW44" s="247"/>
      <c r="AX44" s="144">
        <v>82</v>
      </c>
      <c r="AY44" s="145"/>
      <c r="AZ44" s="33"/>
      <c r="BA44" s="254" t="s">
        <v>23</v>
      </c>
      <c r="BB44" s="254"/>
      <c r="BC44" s="254"/>
      <c r="BD44" s="254"/>
      <c r="BE44" s="254"/>
      <c r="BF44" s="254"/>
      <c r="BG44" s="254"/>
      <c r="BH44" s="254"/>
      <c r="BI44" s="255"/>
      <c r="BJ44" s="34" t="s">
        <v>6</v>
      </c>
      <c r="BK44" s="146" t="s">
        <v>22</v>
      </c>
      <c r="BL44" s="146"/>
      <c r="BM44" s="146"/>
      <c r="BN44" s="146"/>
      <c r="BO44" s="146"/>
      <c r="BP44" s="147"/>
      <c r="BQ44" s="113"/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113"/>
      <c r="CG44" s="113"/>
      <c r="CH44" s="113"/>
      <c r="CI44" s="113"/>
      <c r="CJ44" s="114"/>
      <c r="CK44" s="73"/>
    </row>
    <row r="45" spans="1:98">
      <c r="A45" s="125"/>
      <c r="B45" s="126"/>
      <c r="C45" s="126"/>
      <c r="D45" s="127"/>
      <c r="E45" s="115">
        <v>38</v>
      </c>
      <c r="F45" s="166"/>
      <c r="G45" s="31" t="s">
        <v>6</v>
      </c>
      <c r="H45" s="85" t="s">
        <v>21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7"/>
      <c r="Y45" s="229" t="s">
        <v>20</v>
      </c>
      <c r="Z45" s="229"/>
      <c r="AA45" s="229"/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30"/>
      <c r="AT45" s="248"/>
      <c r="AU45" s="249"/>
      <c r="AV45" s="249"/>
      <c r="AW45" s="250"/>
      <c r="AX45" s="137">
        <v>83</v>
      </c>
      <c r="AY45" s="138"/>
      <c r="AZ45" s="33"/>
      <c r="BA45" s="254"/>
      <c r="BB45" s="254"/>
      <c r="BC45" s="254"/>
      <c r="BD45" s="254"/>
      <c r="BE45" s="254"/>
      <c r="BF45" s="254"/>
      <c r="BG45" s="254"/>
      <c r="BH45" s="254"/>
      <c r="BI45" s="255"/>
      <c r="BJ45" s="32"/>
      <c r="BK45" s="85" t="s">
        <v>19</v>
      </c>
      <c r="BL45" s="85"/>
      <c r="BM45" s="85"/>
      <c r="BN45" s="85"/>
      <c r="BO45" s="85"/>
      <c r="BP45" s="87"/>
      <c r="BQ45" s="142"/>
      <c r="BR45" s="142"/>
      <c r="BS45" s="142"/>
      <c r="BT45" s="142"/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3"/>
      <c r="CK45" s="73"/>
    </row>
    <row r="46" spans="1:98">
      <c r="A46" s="125"/>
      <c r="B46" s="126"/>
      <c r="C46" s="126"/>
      <c r="D46" s="127"/>
      <c r="E46" s="115">
        <v>39</v>
      </c>
      <c r="F46" s="166"/>
      <c r="G46" s="31" t="s">
        <v>16</v>
      </c>
      <c r="H46" s="85" t="s">
        <v>18</v>
      </c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7"/>
      <c r="Y46" s="258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30"/>
      <c r="AT46" s="248"/>
      <c r="AU46" s="249"/>
      <c r="AV46" s="249"/>
      <c r="AW46" s="250"/>
      <c r="AX46" s="137">
        <v>84</v>
      </c>
      <c r="AY46" s="138"/>
      <c r="AZ46" s="33"/>
      <c r="BA46" s="254"/>
      <c r="BB46" s="254"/>
      <c r="BC46" s="254"/>
      <c r="BD46" s="254"/>
      <c r="BE46" s="254"/>
      <c r="BF46" s="254"/>
      <c r="BG46" s="254"/>
      <c r="BH46" s="254"/>
      <c r="BI46" s="255"/>
      <c r="BJ46" s="32"/>
      <c r="BK46" s="85" t="s">
        <v>17</v>
      </c>
      <c r="BL46" s="85"/>
      <c r="BM46" s="85"/>
      <c r="BN46" s="85"/>
      <c r="BO46" s="85"/>
      <c r="BP46" s="87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3"/>
      <c r="CK46" s="73"/>
    </row>
    <row r="47" spans="1:98">
      <c r="A47" s="125"/>
      <c r="B47" s="126"/>
      <c r="C47" s="126"/>
      <c r="D47" s="127"/>
      <c r="E47" s="115">
        <v>40</v>
      </c>
      <c r="F47" s="166"/>
      <c r="G47" s="31" t="s">
        <v>16</v>
      </c>
      <c r="H47" s="85" t="s">
        <v>15</v>
      </c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7"/>
      <c r="Y47" s="229"/>
      <c r="Z47" s="229"/>
      <c r="AA47" s="229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30"/>
      <c r="AT47" s="248"/>
      <c r="AU47" s="249"/>
      <c r="AV47" s="249"/>
      <c r="AW47" s="250"/>
      <c r="AX47" s="137">
        <v>85</v>
      </c>
      <c r="AY47" s="138"/>
      <c r="AZ47" s="30" t="s">
        <v>6</v>
      </c>
      <c r="BA47" s="256"/>
      <c r="BB47" s="256"/>
      <c r="BC47" s="256"/>
      <c r="BD47" s="256"/>
      <c r="BE47" s="256"/>
      <c r="BF47" s="256"/>
      <c r="BG47" s="256"/>
      <c r="BH47" s="256"/>
      <c r="BI47" s="257"/>
      <c r="BJ47" s="32"/>
      <c r="BK47" s="85" t="s">
        <v>14</v>
      </c>
      <c r="BL47" s="85"/>
      <c r="BM47" s="85"/>
      <c r="BN47" s="85"/>
      <c r="BO47" s="85"/>
      <c r="BP47" s="87"/>
      <c r="BQ47" s="142"/>
      <c r="BR47" s="142"/>
      <c r="BS47" s="142"/>
      <c r="BT47" s="142"/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/>
      <c r="CH47" s="142"/>
      <c r="CI47" s="142"/>
      <c r="CJ47" s="143"/>
      <c r="CK47" s="73"/>
    </row>
    <row r="48" spans="1:98">
      <c r="A48" s="125"/>
      <c r="B48" s="126"/>
      <c r="C48" s="126"/>
      <c r="D48" s="127"/>
      <c r="E48" s="115">
        <v>41</v>
      </c>
      <c r="F48" s="166"/>
      <c r="G48" s="31" t="s">
        <v>6</v>
      </c>
      <c r="H48" s="85" t="s">
        <v>13</v>
      </c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7"/>
      <c r="Y48" s="229"/>
      <c r="Z48" s="229"/>
      <c r="AA48" s="229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229"/>
      <c r="AQ48" s="229"/>
      <c r="AR48" s="229"/>
      <c r="AS48" s="230"/>
      <c r="AT48" s="248"/>
      <c r="AU48" s="249"/>
      <c r="AV48" s="249"/>
      <c r="AW48" s="250"/>
      <c r="AX48" s="137">
        <v>86</v>
      </c>
      <c r="AY48" s="138"/>
      <c r="AZ48" s="31" t="s">
        <v>6</v>
      </c>
      <c r="BA48" s="85" t="s">
        <v>12</v>
      </c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7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3"/>
      <c r="CK48" s="73"/>
    </row>
    <row r="49" spans="1:89">
      <c r="A49" s="125"/>
      <c r="B49" s="126"/>
      <c r="C49" s="126"/>
      <c r="D49" s="127"/>
      <c r="E49" s="115">
        <v>42</v>
      </c>
      <c r="F49" s="166"/>
      <c r="G49" s="31" t="s">
        <v>6</v>
      </c>
      <c r="H49" s="85" t="s">
        <v>11</v>
      </c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7"/>
      <c r="Y49" s="229"/>
      <c r="Z49" s="229"/>
      <c r="AA49" s="229"/>
      <c r="AB49" s="229"/>
      <c r="AC49" s="229"/>
      <c r="AD49" s="229"/>
      <c r="AE49" s="229"/>
      <c r="AF49" s="229"/>
      <c r="AG49" s="229"/>
      <c r="AH49" s="229"/>
      <c r="AI49" s="229"/>
      <c r="AJ49" s="229"/>
      <c r="AK49" s="229"/>
      <c r="AL49" s="229"/>
      <c r="AM49" s="229"/>
      <c r="AN49" s="229"/>
      <c r="AO49" s="229"/>
      <c r="AP49" s="229"/>
      <c r="AQ49" s="229"/>
      <c r="AR49" s="229"/>
      <c r="AS49" s="230"/>
      <c r="AT49" s="248"/>
      <c r="AU49" s="249"/>
      <c r="AV49" s="249"/>
      <c r="AW49" s="250"/>
      <c r="AX49" s="137">
        <v>87</v>
      </c>
      <c r="AY49" s="138"/>
      <c r="AZ49" s="31"/>
      <c r="BA49" s="85" t="s">
        <v>10</v>
      </c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7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1"/>
      <c r="CK49" s="73"/>
    </row>
    <row r="50" spans="1:89">
      <c r="A50" s="125"/>
      <c r="B50" s="126"/>
      <c r="C50" s="126"/>
      <c r="D50" s="127"/>
      <c r="E50" s="115">
        <v>43</v>
      </c>
      <c r="F50" s="166"/>
      <c r="G50" s="31" t="s">
        <v>6</v>
      </c>
      <c r="H50" s="85" t="s">
        <v>9</v>
      </c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7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229"/>
      <c r="AQ50" s="229"/>
      <c r="AR50" s="229"/>
      <c r="AS50" s="230"/>
      <c r="AT50" s="248"/>
      <c r="AU50" s="249"/>
      <c r="AV50" s="249"/>
      <c r="AW50" s="250"/>
      <c r="AX50" s="137">
        <v>88</v>
      </c>
      <c r="AY50" s="138"/>
      <c r="AZ50" s="31"/>
      <c r="BA50" s="85" t="s">
        <v>8</v>
      </c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7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20"/>
      <c r="CG50" s="120"/>
      <c r="CH50" s="120"/>
      <c r="CI50" s="120"/>
      <c r="CJ50" s="121"/>
      <c r="CK50" s="73"/>
    </row>
    <row r="51" spans="1:89">
      <c r="A51" s="125"/>
      <c r="B51" s="126"/>
      <c r="C51" s="126"/>
      <c r="D51" s="127"/>
      <c r="E51" s="115">
        <v>44</v>
      </c>
      <c r="F51" s="166"/>
      <c r="G51" s="31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7"/>
      <c r="Y51" s="229"/>
      <c r="Z51" s="229"/>
      <c r="AA51" s="229"/>
      <c r="AB51" s="229"/>
      <c r="AC51" s="229"/>
      <c r="AD51" s="229"/>
      <c r="AE51" s="229"/>
      <c r="AF51" s="229"/>
      <c r="AG51" s="229"/>
      <c r="AH51" s="229"/>
      <c r="AI51" s="229"/>
      <c r="AJ51" s="229"/>
      <c r="AK51" s="229"/>
      <c r="AL51" s="229"/>
      <c r="AM51" s="229"/>
      <c r="AN51" s="229"/>
      <c r="AO51" s="229"/>
      <c r="AP51" s="229"/>
      <c r="AQ51" s="229"/>
      <c r="AR51" s="229"/>
      <c r="AS51" s="230"/>
      <c r="AT51" s="248"/>
      <c r="AU51" s="249"/>
      <c r="AV51" s="249"/>
      <c r="AW51" s="250"/>
      <c r="AX51" s="144">
        <v>89</v>
      </c>
      <c r="AY51" s="145"/>
      <c r="AZ51" s="30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7"/>
      <c r="BQ51" s="198"/>
      <c r="BR51" s="198"/>
      <c r="BS51" s="198"/>
      <c r="BT51" s="198"/>
      <c r="BU51" s="198"/>
      <c r="BV51" s="198"/>
      <c r="BW51" s="198"/>
      <c r="BX51" s="198"/>
      <c r="BY51" s="198"/>
      <c r="BZ51" s="198"/>
      <c r="CA51" s="198"/>
      <c r="CB51" s="198"/>
      <c r="CC51" s="198"/>
      <c r="CD51" s="198"/>
      <c r="CE51" s="198"/>
      <c r="CF51" s="198"/>
      <c r="CG51" s="198"/>
      <c r="CH51" s="198"/>
      <c r="CI51" s="198"/>
      <c r="CJ51" s="259"/>
      <c r="CK51" s="73"/>
    </row>
    <row r="52" spans="1:89" ht="17.25" thickBot="1">
      <c r="A52" s="128"/>
      <c r="B52" s="129"/>
      <c r="C52" s="129"/>
      <c r="D52" s="130"/>
      <c r="E52" s="182">
        <v>45</v>
      </c>
      <c r="F52" s="201"/>
      <c r="G52" s="27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1"/>
      <c r="Y52" s="260"/>
      <c r="Z52" s="260"/>
      <c r="AA52" s="260"/>
      <c r="AB52" s="260"/>
      <c r="AC52" s="260"/>
      <c r="AD52" s="260"/>
      <c r="AE52" s="260"/>
      <c r="AF52" s="260"/>
      <c r="AG52" s="260"/>
      <c r="AH52" s="260"/>
      <c r="AI52" s="260"/>
      <c r="AJ52" s="260"/>
      <c r="AK52" s="260"/>
      <c r="AL52" s="260"/>
      <c r="AM52" s="260"/>
      <c r="AN52" s="260"/>
      <c r="AO52" s="260"/>
      <c r="AP52" s="260"/>
      <c r="AQ52" s="260"/>
      <c r="AR52" s="260"/>
      <c r="AS52" s="261"/>
      <c r="AT52" s="251"/>
      <c r="AU52" s="252"/>
      <c r="AV52" s="252"/>
      <c r="AW52" s="253"/>
      <c r="AX52" s="148">
        <v>90</v>
      </c>
      <c r="AY52" s="149"/>
      <c r="AZ52" s="26"/>
      <c r="BA52" s="262"/>
      <c r="BB52" s="262"/>
      <c r="BC52" s="262"/>
      <c r="BD52" s="262"/>
      <c r="BE52" s="262"/>
      <c r="BF52" s="262"/>
      <c r="BG52" s="262"/>
      <c r="BH52" s="262"/>
      <c r="BI52" s="262"/>
      <c r="BJ52" s="262"/>
      <c r="BK52" s="262"/>
      <c r="BL52" s="262"/>
      <c r="BM52" s="262"/>
      <c r="BN52" s="262"/>
      <c r="BO52" s="262"/>
      <c r="BP52" s="263"/>
      <c r="BQ52" s="264"/>
      <c r="BR52" s="264"/>
      <c r="BS52" s="264"/>
      <c r="BT52" s="264"/>
      <c r="BU52" s="264"/>
      <c r="BV52" s="264"/>
      <c r="BW52" s="264"/>
      <c r="BX52" s="264"/>
      <c r="BY52" s="264"/>
      <c r="BZ52" s="264"/>
      <c r="CA52" s="264"/>
      <c r="CB52" s="264"/>
      <c r="CC52" s="264"/>
      <c r="CD52" s="264"/>
      <c r="CE52" s="264"/>
      <c r="CF52" s="264"/>
      <c r="CG52" s="264"/>
      <c r="CH52" s="264"/>
      <c r="CI52" s="264"/>
      <c r="CJ52" s="265"/>
      <c r="CK52" s="73"/>
    </row>
    <row r="53" spans="1:89">
      <c r="A53" s="266" t="s">
        <v>7</v>
      </c>
      <c r="B53" s="267"/>
      <c r="C53" s="267"/>
      <c r="D53" s="268"/>
      <c r="E53" s="25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3"/>
    </row>
    <row r="54" spans="1:89">
      <c r="A54" s="266"/>
      <c r="B54" s="267"/>
      <c r="C54" s="267"/>
      <c r="D54" s="268"/>
      <c r="E54" s="22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0"/>
    </row>
    <row r="55" spans="1:89">
      <c r="A55" s="266"/>
      <c r="B55" s="267"/>
      <c r="C55" s="267"/>
      <c r="D55" s="268"/>
      <c r="E55" s="22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0"/>
    </row>
    <row r="56" spans="1:89">
      <c r="A56" s="266"/>
      <c r="B56" s="267"/>
      <c r="C56" s="267"/>
      <c r="D56" s="268"/>
      <c r="E56" s="22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0"/>
    </row>
    <row r="57" spans="1:89">
      <c r="A57" s="266"/>
      <c r="B57" s="267"/>
      <c r="C57" s="267"/>
      <c r="D57" s="268"/>
      <c r="E57" s="22" t="s">
        <v>6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0"/>
    </row>
    <row r="58" spans="1:89" ht="17.25" thickBot="1">
      <c r="A58" s="269"/>
      <c r="B58" s="270"/>
      <c r="C58" s="270"/>
      <c r="D58" s="271"/>
      <c r="E58" s="19" t="s">
        <v>6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7"/>
    </row>
    <row r="59" spans="1:89">
      <c r="A59" s="272"/>
      <c r="B59" s="273"/>
      <c r="C59" s="273"/>
      <c r="D59" s="274"/>
      <c r="E59" s="16"/>
      <c r="F59" s="14"/>
      <c r="G59" s="15"/>
      <c r="H59" s="14"/>
      <c r="I59" s="14"/>
      <c r="J59" s="14"/>
      <c r="K59" s="14"/>
      <c r="L59" s="14"/>
      <c r="M59" s="14"/>
      <c r="N59" s="14"/>
      <c r="O59" s="14"/>
      <c r="P59" s="14"/>
      <c r="Q59" s="13"/>
      <c r="R59" s="12"/>
      <c r="S59" s="10"/>
      <c r="T59" s="11"/>
      <c r="U59" s="11"/>
      <c r="V59" s="11"/>
      <c r="W59" s="11"/>
      <c r="X59" s="11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275"/>
      <c r="BN59" s="276"/>
      <c r="BO59" s="276"/>
      <c r="BP59" s="276"/>
      <c r="BQ59" s="276"/>
      <c r="BR59" s="276"/>
      <c r="BS59" s="276"/>
      <c r="BT59" s="277"/>
      <c r="BU59" s="275"/>
      <c r="BV59" s="276"/>
      <c r="BW59" s="276"/>
      <c r="BX59" s="276"/>
      <c r="BY59" s="276"/>
      <c r="BZ59" s="276"/>
      <c r="CA59" s="276"/>
      <c r="CB59" s="277"/>
      <c r="CC59" s="275"/>
      <c r="CD59" s="276"/>
      <c r="CE59" s="276"/>
      <c r="CF59" s="276"/>
      <c r="CG59" s="276"/>
      <c r="CH59" s="276"/>
      <c r="CI59" s="276"/>
      <c r="CJ59" s="278"/>
    </row>
    <row r="60" spans="1:89">
      <c r="A60" s="279"/>
      <c r="B60" s="280"/>
      <c r="C60" s="280"/>
      <c r="D60" s="281"/>
      <c r="E60" s="9"/>
      <c r="F60" s="8"/>
      <c r="G60" s="5"/>
      <c r="H60" s="8"/>
      <c r="I60" s="8"/>
      <c r="J60" s="8"/>
      <c r="K60" s="8"/>
      <c r="L60" s="8"/>
      <c r="M60" s="8"/>
      <c r="N60" s="8"/>
      <c r="O60" s="8"/>
      <c r="P60" s="8"/>
      <c r="Q60" s="7"/>
      <c r="R60" s="6"/>
      <c r="S60" s="5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3"/>
      <c r="BM60" s="282"/>
      <c r="BN60" s="283"/>
      <c r="BO60" s="283"/>
      <c r="BP60" s="283"/>
      <c r="BQ60" s="283"/>
      <c r="BR60" s="283"/>
      <c r="BS60" s="283"/>
      <c r="BT60" s="284"/>
      <c r="BU60" s="282"/>
      <c r="BV60" s="283"/>
      <c r="BW60" s="283"/>
      <c r="BX60" s="283"/>
      <c r="BY60" s="283"/>
      <c r="BZ60" s="283"/>
      <c r="CA60" s="283"/>
      <c r="CB60" s="284"/>
      <c r="CC60" s="282"/>
      <c r="CD60" s="283"/>
      <c r="CE60" s="283"/>
      <c r="CF60" s="283"/>
      <c r="CG60" s="283"/>
      <c r="CH60" s="283"/>
      <c r="CI60" s="283"/>
      <c r="CJ60" s="285"/>
    </row>
    <row r="61" spans="1:89">
      <c r="A61" s="286"/>
      <c r="B61" s="287"/>
      <c r="C61" s="287"/>
      <c r="D61" s="288"/>
      <c r="E61" s="289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1"/>
      <c r="R61" s="292"/>
      <c r="S61" s="293"/>
      <c r="T61" s="293"/>
      <c r="U61" s="293"/>
      <c r="V61" s="293"/>
      <c r="W61" s="293"/>
      <c r="X61" s="293"/>
      <c r="Y61" s="293"/>
      <c r="Z61" s="293"/>
      <c r="AA61" s="293"/>
      <c r="AB61" s="293"/>
      <c r="AC61" s="293"/>
      <c r="AD61" s="293"/>
      <c r="AE61" s="293"/>
      <c r="AF61" s="293"/>
      <c r="AG61" s="293"/>
      <c r="AH61" s="293"/>
      <c r="AI61" s="293"/>
      <c r="AJ61" s="293"/>
      <c r="AK61" s="293"/>
      <c r="AL61" s="293"/>
      <c r="AM61" s="293"/>
      <c r="AN61" s="293"/>
      <c r="AO61" s="293"/>
      <c r="AP61" s="293"/>
      <c r="AQ61" s="293"/>
      <c r="AR61" s="293"/>
      <c r="AS61" s="293"/>
      <c r="AT61" s="293"/>
      <c r="AU61" s="293"/>
      <c r="AV61" s="293"/>
      <c r="AW61" s="293"/>
      <c r="AX61" s="293"/>
      <c r="AY61" s="293"/>
      <c r="AZ61" s="293"/>
      <c r="BA61" s="293"/>
      <c r="BB61" s="293"/>
      <c r="BC61" s="293"/>
      <c r="BD61" s="293"/>
      <c r="BE61" s="293"/>
      <c r="BF61" s="293"/>
      <c r="BG61" s="293"/>
      <c r="BH61" s="293"/>
      <c r="BI61" s="293"/>
      <c r="BJ61" s="293"/>
      <c r="BK61" s="293"/>
      <c r="BL61" s="294"/>
      <c r="BM61" s="282"/>
      <c r="BN61" s="283"/>
      <c r="BO61" s="283"/>
      <c r="BP61" s="283"/>
      <c r="BQ61" s="283"/>
      <c r="BR61" s="283"/>
      <c r="BS61" s="283"/>
      <c r="BT61" s="284"/>
      <c r="BU61" s="282"/>
      <c r="BV61" s="283"/>
      <c r="BW61" s="283"/>
      <c r="BX61" s="283"/>
      <c r="BY61" s="283"/>
      <c r="BZ61" s="283"/>
      <c r="CA61" s="283"/>
      <c r="CB61" s="284"/>
      <c r="CC61" s="282"/>
      <c r="CD61" s="283"/>
      <c r="CE61" s="283"/>
      <c r="CF61" s="283"/>
      <c r="CG61" s="283"/>
      <c r="CH61" s="283"/>
      <c r="CI61" s="283"/>
      <c r="CJ61" s="285"/>
    </row>
    <row r="62" spans="1:89" ht="17.25" thickBot="1">
      <c r="A62" s="295" t="s">
        <v>5</v>
      </c>
      <c r="B62" s="296"/>
      <c r="C62" s="296"/>
      <c r="D62" s="297"/>
      <c r="E62" s="298" t="s">
        <v>4</v>
      </c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300"/>
      <c r="R62" s="301" t="s">
        <v>3</v>
      </c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2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3"/>
      <c r="BM62" s="298" t="s">
        <v>2</v>
      </c>
      <c r="BN62" s="299"/>
      <c r="BO62" s="299"/>
      <c r="BP62" s="299"/>
      <c r="BQ62" s="299"/>
      <c r="BR62" s="299"/>
      <c r="BS62" s="299"/>
      <c r="BT62" s="300"/>
      <c r="BU62" s="298" t="s">
        <v>1</v>
      </c>
      <c r="BV62" s="299"/>
      <c r="BW62" s="299"/>
      <c r="BX62" s="299"/>
      <c r="BY62" s="299"/>
      <c r="BZ62" s="299"/>
      <c r="CA62" s="299"/>
      <c r="CB62" s="300"/>
      <c r="CC62" s="298" t="s">
        <v>0</v>
      </c>
      <c r="CD62" s="299"/>
      <c r="CE62" s="299"/>
      <c r="CF62" s="299"/>
      <c r="CG62" s="299"/>
      <c r="CH62" s="299"/>
      <c r="CI62" s="299"/>
      <c r="CJ62" s="304"/>
    </row>
  </sheetData>
  <mergeCells count="400">
    <mergeCell ref="A61:D61"/>
    <mergeCell ref="E61:Q61"/>
    <mergeCell ref="R61:BL61"/>
    <mergeCell ref="BM61:BT61"/>
    <mergeCell ref="BU61:CB61"/>
    <mergeCell ref="CC61:CJ61"/>
    <mergeCell ref="A62:D62"/>
    <mergeCell ref="E62:Q62"/>
    <mergeCell ref="R62:BL62"/>
    <mergeCell ref="BM62:BT62"/>
    <mergeCell ref="BU62:CB62"/>
    <mergeCell ref="CC62:CJ62"/>
    <mergeCell ref="A53:D58"/>
    <mergeCell ref="A59:D59"/>
    <mergeCell ref="BM59:BT59"/>
    <mergeCell ref="BU59:CB59"/>
    <mergeCell ref="CC59:CJ59"/>
    <mergeCell ref="A60:D60"/>
    <mergeCell ref="BM60:BT60"/>
    <mergeCell ref="BU60:CB60"/>
    <mergeCell ref="CC60:CJ60"/>
    <mergeCell ref="E51:F51"/>
    <mergeCell ref="H51:X51"/>
    <mergeCell ref="Y51:AS51"/>
    <mergeCell ref="AX51:AY51"/>
    <mergeCell ref="BA51:BP51"/>
    <mergeCell ref="BQ51:CJ51"/>
    <mergeCell ref="E52:F52"/>
    <mergeCell ref="H52:X52"/>
    <mergeCell ref="Y52:AS52"/>
    <mergeCell ref="AX52:AY52"/>
    <mergeCell ref="BA52:BP52"/>
    <mergeCell ref="BQ52:CJ52"/>
    <mergeCell ref="E49:F49"/>
    <mergeCell ref="H49:X49"/>
    <mergeCell ref="Y49:AS49"/>
    <mergeCell ref="AX49:AY49"/>
    <mergeCell ref="BA49:BP49"/>
    <mergeCell ref="BQ49:CJ49"/>
    <mergeCell ref="E50:F50"/>
    <mergeCell ref="H50:X50"/>
    <mergeCell ref="Y50:AS50"/>
    <mergeCell ref="AX50:AY50"/>
    <mergeCell ref="BA50:BP50"/>
    <mergeCell ref="BQ50:CJ50"/>
    <mergeCell ref="E46:F46"/>
    <mergeCell ref="H46:X46"/>
    <mergeCell ref="Y46:AS46"/>
    <mergeCell ref="AX46:AY46"/>
    <mergeCell ref="E48:F48"/>
    <mergeCell ref="H48:X48"/>
    <mergeCell ref="BK44:BP44"/>
    <mergeCell ref="BQ44:CJ44"/>
    <mergeCell ref="E45:F45"/>
    <mergeCell ref="H45:X45"/>
    <mergeCell ref="Y45:AS45"/>
    <mergeCell ref="AX45:AY45"/>
    <mergeCell ref="BK45:BP45"/>
    <mergeCell ref="BQ45:CJ45"/>
    <mergeCell ref="E44:F44"/>
    <mergeCell ref="H44:X44"/>
    <mergeCell ref="BK46:BP46"/>
    <mergeCell ref="BQ46:CJ46"/>
    <mergeCell ref="E47:F47"/>
    <mergeCell ref="H47:X47"/>
    <mergeCell ref="Y47:AS47"/>
    <mergeCell ref="AX47:AY47"/>
    <mergeCell ref="BK47:BP47"/>
    <mergeCell ref="BQ47:CJ47"/>
    <mergeCell ref="Y48:AS48"/>
    <mergeCell ref="AX48:AY48"/>
    <mergeCell ref="BA48:BP48"/>
    <mergeCell ref="BQ48:CJ48"/>
    <mergeCell ref="AX41:AY41"/>
    <mergeCell ref="BA41:BP41"/>
    <mergeCell ref="BQ41:CJ41"/>
    <mergeCell ref="Y44:AS44"/>
    <mergeCell ref="AT44:AW52"/>
    <mergeCell ref="AX44:AY44"/>
    <mergeCell ref="BA44:BI47"/>
    <mergeCell ref="H41:X41"/>
    <mergeCell ref="Y41:AS41"/>
    <mergeCell ref="E42:F42"/>
    <mergeCell ref="H42:X42"/>
    <mergeCell ref="Y42:AS42"/>
    <mergeCell ref="AX42:AY42"/>
    <mergeCell ref="BA42:BP42"/>
    <mergeCell ref="BQ42:CJ42"/>
    <mergeCell ref="AT37:AW43"/>
    <mergeCell ref="AX37:AY37"/>
    <mergeCell ref="BA37:BP37"/>
    <mergeCell ref="BQ37:CJ37"/>
    <mergeCell ref="E43:F43"/>
    <mergeCell ref="H43:X43"/>
    <mergeCell ref="Y43:AS43"/>
    <mergeCell ref="AX43:AY43"/>
    <mergeCell ref="BA43:BP43"/>
    <mergeCell ref="BQ43:CJ43"/>
    <mergeCell ref="E40:F40"/>
    <mergeCell ref="R40:X40"/>
    <mergeCell ref="Y40:AS40"/>
    <mergeCell ref="AX40:AY40"/>
    <mergeCell ref="BA40:BP40"/>
    <mergeCell ref="BQ40:CJ40"/>
    <mergeCell ref="BQ38:CJ38"/>
    <mergeCell ref="E39:F39"/>
    <mergeCell ref="R39:X39"/>
    <mergeCell ref="Y39:AS39"/>
    <mergeCell ref="AX39:AY39"/>
    <mergeCell ref="BA39:BP39"/>
    <mergeCell ref="BQ39:CJ39"/>
    <mergeCell ref="E35:F35"/>
    <mergeCell ref="H35:X35"/>
    <mergeCell ref="Y35:AS35"/>
    <mergeCell ref="AT35:AW36"/>
    <mergeCell ref="AX35:AY35"/>
    <mergeCell ref="BA35:BP35"/>
    <mergeCell ref="BQ35:CJ35"/>
    <mergeCell ref="E36:F36"/>
    <mergeCell ref="H36:P40"/>
    <mergeCell ref="R36:X36"/>
    <mergeCell ref="Y36:AS36"/>
    <mergeCell ref="AX36:AY36"/>
    <mergeCell ref="BA36:BP36"/>
    <mergeCell ref="BQ36:CJ36"/>
    <mergeCell ref="E37:F37"/>
    <mergeCell ref="R37:X37"/>
    <mergeCell ref="E38:F38"/>
    <mergeCell ref="BQ34:CJ34"/>
    <mergeCell ref="BQ32:BZ32"/>
    <mergeCell ref="CA32:CJ32"/>
    <mergeCell ref="E33:F33"/>
    <mergeCell ref="H33:P33"/>
    <mergeCell ref="R33:X33"/>
    <mergeCell ref="Y33:AI33"/>
    <mergeCell ref="AJ33:AS33"/>
    <mergeCell ref="AT33:AW34"/>
    <mergeCell ref="AX33:AY33"/>
    <mergeCell ref="E34:F34"/>
    <mergeCell ref="H34:X34"/>
    <mergeCell ref="Y34:AS34"/>
    <mergeCell ref="AX34:AY34"/>
    <mergeCell ref="BA34:BP34"/>
    <mergeCell ref="E31:F31"/>
    <mergeCell ref="H31:X31"/>
    <mergeCell ref="Y31:AS31"/>
    <mergeCell ref="AX31:AY31"/>
    <mergeCell ref="BA31:BP31"/>
    <mergeCell ref="A29:D52"/>
    <mergeCell ref="E29:F29"/>
    <mergeCell ref="H29:X29"/>
    <mergeCell ref="Y29:AS29"/>
    <mergeCell ref="AT29:AW32"/>
    <mergeCell ref="AX29:AY29"/>
    <mergeCell ref="BA33:BP33"/>
    <mergeCell ref="E32:F32"/>
    <mergeCell ref="H32:X32"/>
    <mergeCell ref="Y32:AS32"/>
    <mergeCell ref="AX32:AY32"/>
    <mergeCell ref="BA32:BG32"/>
    <mergeCell ref="BI32:BP32"/>
    <mergeCell ref="Y37:AS37"/>
    <mergeCell ref="R38:X38"/>
    <mergeCell ref="Y38:AS38"/>
    <mergeCell ref="AX38:AY38"/>
    <mergeCell ref="BA38:BP38"/>
    <mergeCell ref="E41:F41"/>
    <mergeCell ref="E30:F30"/>
    <mergeCell ref="H30:P30"/>
    <mergeCell ref="R30:X30"/>
    <mergeCell ref="Y30:AI30"/>
    <mergeCell ref="AJ30:AS30"/>
    <mergeCell ref="AX30:AY30"/>
    <mergeCell ref="BA29:BP29"/>
    <mergeCell ref="BQ29:CJ29"/>
    <mergeCell ref="A24:D28"/>
    <mergeCell ref="BA30:BP30"/>
    <mergeCell ref="BQ30:CJ30"/>
    <mergeCell ref="BQ33:CJ33"/>
    <mergeCell ref="AX26:AY26"/>
    <mergeCell ref="BA26:BP26"/>
    <mergeCell ref="BQ26:CJ26"/>
    <mergeCell ref="BA27:BP27"/>
    <mergeCell ref="BQ27:CJ27"/>
    <mergeCell ref="BA28:BG28"/>
    <mergeCell ref="BI28:BP28"/>
    <mergeCell ref="BQ28:BZ28"/>
    <mergeCell ref="CA28:CJ28"/>
    <mergeCell ref="BQ31:CJ31"/>
    <mergeCell ref="AT25:AW28"/>
    <mergeCell ref="AT23:AW24"/>
    <mergeCell ref="AX23:AY23"/>
    <mergeCell ref="E27:F27"/>
    <mergeCell ref="H27:P27"/>
    <mergeCell ref="R27:X27"/>
    <mergeCell ref="Y27:AI27"/>
    <mergeCell ref="AJ27:AS27"/>
    <mergeCell ref="AX27:AY27"/>
    <mergeCell ref="E28:F28"/>
    <mergeCell ref="H28:P28"/>
    <mergeCell ref="R28:X28"/>
    <mergeCell ref="Y28:AI28"/>
    <mergeCell ref="AJ28:AS28"/>
    <mergeCell ref="AX28:AY28"/>
    <mergeCell ref="AX25:AY25"/>
    <mergeCell ref="BA25:BP25"/>
    <mergeCell ref="BQ25:CJ25"/>
    <mergeCell ref="E26:F26"/>
    <mergeCell ref="R26:T26"/>
    <mergeCell ref="U26:X26"/>
    <mergeCell ref="Y26:AS26"/>
    <mergeCell ref="BA23:BP23"/>
    <mergeCell ref="BQ23:CJ23"/>
    <mergeCell ref="E24:F24"/>
    <mergeCell ref="H24:T24"/>
    <mergeCell ref="U24:X24"/>
    <mergeCell ref="Y24:AS24"/>
    <mergeCell ref="AX24:AY24"/>
    <mergeCell ref="E23:F23"/>
    <mergeCell ref="H23:P23"/>
    <mergeCell ref="Q23:U23"/>
    <mergeCell ref="BQ24:BZ24"/>
    <mergeCell ref="CA24:CJ24"/>
    <mergeCell ref="E25:F25"/>
    <mergeCell ref="H25:P26"/>
    <mergeCell ref="R25:T25"/>
    <mergeCell ref="U25:X25"/>
    <mergeCell ref="Y25:AS25"/>
    <mergeCell ref="V23:AC23"/>
    <mergeCell ref="AD23:AK23"/>
    <mergeCell ref="AD20:AK20"/>
    <mergeCell ref="AL23:AS23"/>
    <mergeCell ref="BA24:BG24"/>
    <mergeCell ref="BI24:BP24"/>
    <mergeCell ref="BA22:BP22"/>
    <mergeCell ref="AL21:AS21"/>
    <mergeCell ref="AT21:AW22"/>
    <mergeCell ref="BA21:BP21"/>
    <mergeCell ref="BQ22:CJ22"/>
    <mergeCell ref="AX19:AY19"/>
    <mergeCell ref="BA19:BP19"/>
    <mergeCell ref="BQ19:CJ19"/>
    <mergeCell ref="AX20:AY20"/>
    <mergeCell ref="BA20:BG20"/>
    <mergeCell ref="BI20:BP20"/>
    <mergeCell ref="BQ20:BZ20"/>
    <mergeCell ref="CA20:CJ20"/>
    <mergeCell ref="AX21:AY21"/>
    <mergeCell ref="BQ21:CJ21"/>
    <mergeCell ref="BA17:BP17"/>
    <mergeCell ref="BQ17:CJ17"/>
    <mergeCell ref="E18:F18"/>
    <mergeCell ref="H18:P18"/>
    <mergeCell ref="Q18:U18"/>
    <mergeCell ref="V18:AC18"/>
    <mergeCell ref="AD18:AK18"/>
    <mergeCell ref="AL18:AS18"/>
    <mergeCell ref="AX18:AY18"/>
    <mergeCell ref="E21:F21"/>
    <mergeCell ref="H21:P21"/>
    <mergeCell ref="Q21:U21"/>
    <mergeCell ref="V21:AC21"/>
    <mergeCell ref="AD21:AK21"/>
    <mergeCell ref="E20:F20"/>
    <mergeCell ref="H20:P20"/>
    <mergeCell ref="Q20:U20"/>
    <mergeCell ref="V20:AC20"/>
    <mergeCell ref="BA18:BP18"/>
    <mergeCell ref="BQ18:CJ18"/>
    <mergeCell ref="E17:F17"/>
    <mergeCell ref="H17:P17"/>
    <mergeCell ref="Q17:U17"/>
    <mergeCell ref="V17:AC17"/>
    <mergeCell ref="AD17:AK17"/>
    <mergeCell ref="AL17:AS17"/>
    <mergeCell ref="AX17:AY17"/>
    <mergeCell ref="AX22:AY22"/>
    <mergeCell ref="E16:F16"/>
    <mergeCell ref="H16:P16"/>
    <mergeCell ref="Q16:U16"/>
    <mergeCell ref="V16:AC16"/>
    <mergeCell ref="AD16:AK16"/>
    <mergeCell ref="AL16:AS16"/>
    <mergeCell ref="AT17:AW20"/>
    <mergeCell ref="AT14:AW16"/>
    <mergeCell ref="AL20:AS20"/>
    <mergeCell ref="E22:F22"/>
    <mergeCell ref="H22:P22"/>
    <mergeCell ref="Q22:U22"/>
    <mergeCell ref="V22:AC22"/>
    <mergeCell ref="AD22:AK22"/>
    <mergeCell ref="AL22:AS22"/>
    <mergeCell ref="E19:F19"/>
    <mergeCell ref="H19:P19"/>
    <mergeCell ref="Q19:U19"/>
    <mergeCell ref="V19:AC19"/>
    <mergeCell ref="AD19:AK19"/>
    <mergeCell ref="AL19:AS19"/>
    <mergeCell ref="E15:F15"/>
    <mergeCell ref="H15:P15"/>
    <mergeCell ref="Q15:U15"/>
    <mergeCell ref="V15:AC15"/>
    <mergeCell ref="AD15:AK15"/>
    <mergeCell ref="AL15:AS15"/>
    <mergeCell ref="BA16:BP16"/>
    <mergeCell ref="BQ16:CJ16"/>
    <mergeCell ref="AX14:AY14"/>
    <mergeCell ref="AX15:AY15"/>
    <mergeCell ref="AL14:AS14"/>
    <mergeCell ref="BA14:BP14"/>
    <mergeCell ref="BQ14:CJ14"/>
    <mergeCell ref="CN14:CO14"/>
    <mergeCell ref="BA15:BP15"/>
    <mergeCell ref="BQ15:CJ15"/>
    <mergeCell ref="AX16:AY16"/>
    <mergeCell ref="CN12:CO12"/>
    <mergeCell ref="E13:F13"/>
    <mergeCell ref="H13:P13"/>
    <mergeCell ref="Q13:U13"/>
    <mergeCell ref="V13:AC13"/>
    <mergeCell ref="AD13:AK13"/>
    <mergeCell ref="E12:F12"/>
    <mergeCell ref="H12:P12"/>
    <mergeCell ref="Q12:U12"/>
    <mergeCell ref="V12:AC12"/>
    <mergeCell ref="CN13:CO13"/>
    <mergeCell ref="AL13:AS13"/>
    <mergeCell ref="AX13:AY13"/>
    <mergeCell ref="BA13:BP13"/>
    <mergeCell ref="BQ13:CJ13"/>
    <mergeCell ref="AD12:AK12"/>
    <mergeCell ref="AL12:AS12"/>
    <mergeCell ref="AX12:AY12"/>
    <mergeCell ref="BA12:BP12"/>
    <mergeCell ref="BQ12:CJ12"/>
    <mergeCell ref="E14:F14"/>
    <mergeCell ref="H14:P14"/>
    <mergeCell ref="Q14:U14"/>
    <mergeCell ref="V14:AC14"/>
    <mergeCell ref="AD14:AK14"/>
    <mergeCell ref="BA11:BP11"/>
    <mergeCell ref="BQ11:CJ11"/>
    <mergeCell ref="AL9:AS9"/>
    <mergeCell ref="AX9:AY9"/>
    <mergeCell ref="BA10:BG10"/>
    <mergeCell ref="BI10:BP10"/>
    <mergeCell ref="BQ10:BZ10"/>
    <mergeCell ref="CA10:CJ10"/>
    <mergeCell ref="AX10:AY10"/>
    <mergeCell ref="AT8:AW13"/>
    <mergeCell ref="AX8:AY8"/>
    <mergeCell ref="BA8:BP8"/>
    <mergeCell ref="E10:F10"/>
    <mergeCell ref="H10:P10"/>
    <mergeCell ref="Q10:U10"/>
    <mergeCell ref="V10:AC10"/>
    <mergeCell ref="AD10:AK10"/>
    <mergeCell ref="AL10:AS10"/>
    <mergeCell ref="CN11:CO11"/>
    <mergeCell ref="A8:D23"/>
    <mergeCell ref="E8:F8"/>
    <mergeCell ref="H8:U8"/>
    <mergeCell ref="V8:AH8"/>
    <mergeCell ref="AI8:AS8"/>
    <mergeCell ref="BA9:BP9"/>
    <mergeCell ref="BQ9:CJ9"/>
    <mergeCell ref="CN9:CO9"/>
    <mergeCell ref="CN10:CO10"/>
    <mergeCell ref="E11:F11"/>
    <mergeCell ref="H11:P11"/>
    <mergeCell ref="Q11:U11"/>
    <mergeCell ref="V11:AC11"/>
    <mergeCell ref="AD11:AK11"/>
    <mergeCell ref="AL11:AS11"/>
    <mergeCell ref="AX11:AY11"/>
    <mergeCell ref="A1:Z6"/>
    <mergeCell ref="AA1:BW1"/>
    <mergeCell ref="BX1:CC1"/>
    <mergeCell ref="CD1:CJ1"/>
    <mergeCell ref="CL1:CT1"/>
    <mergeCell ref="BQ8:CJ8"/>
    <mergeCell ref="E9:F9"/>
    <mergeCell ref="G9:U9"/>
    <mergeCell ref="V9:AC9"/>
    <mergeCell ref="AD9:AK9"/>
    <mergeCell ref="AJ4:CJ4"/>
    <mergeCell ref="AJ2:CJ2"/>
    <mergeCell ref="CL2:CP2"/>
    <mergeCell ref="CQ2:CT2"/>
    <mergeCell ref="AJ3:CJ3"/>
    <mergeCell ref="AA4:AH4"/>
    <mergeCell ref="AA6:AH6"/>
    <mergeCell ref="AJ6:BN6"/>
    <mergeCell ref="BX6:CJ6"/>
    <mergeCell ref="CN6:CO6"/>
    <mergeCell ref="CN4:CO4"/>
    <mergeCell ref="AA5:AH5"/>
    <mergeCell ref="AJ5:BN5"/>
    <mergeCell ref="BX5:CJ5"/>
    <mergeCell ref="CN5:CO5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88D1-9EE0-4243-9F0A-B5F2031ECB88}">
  <dimension ref="A1:Q75"/>
  <sheetViews>
    <sheetView topLeftCell="F1" zoomScaleNormal="100" workbookViewId="0">
      <pane ySplit="3" topLeftCell="A4" activePane="bottomLeft" state="frozen"/>
      <selection pane="bottomLeft" activeCell="I5" sqref="I5"/>
    </sheetView>
  </sheetViews>
  <sheetFormatPr defaultColWidth="8" defaultRowHeight="16.5"/>
  <cols>
    <col min="1" max="1" width="14" style="334" bestFit="1" customWidth="1"/>
    <col min="2" max="2" width="12" style="308" bestFit="1" customWidth="1"/>
    <col min="3" max="3" width="16" style="308" bestFit="1" customWidth="1"/>
    <col min="4" max="4" width="13.21875" style="308" bestFit="1" customWidth="1"/>
    <col min="5" max="5" width="21.109375" style="308" bestFit="1" customWidth="1"/>
    <col min="6" max="6" width="16.109375" style="308" bestFit="1" customWidth="1"/>
    <col min="7" max="7" width="14" style="308" bestFit="1" customWidth="1"/>
    <col min="8" max="8" width="13.77734375" style="308" bestFit="1" customWidth="1"/>
    <col min="9" max="9" width="11.21875" style="308" bestFit="1" customWidth="1"/>
    <col min="10" max="10" width="11.33203125" style="308" bestFit="1" customWidth="1"/>
    <col min="11" max="11" width="9.44140625" style="308" bestFit="1" customWidth="1"/>
    <col min="12" max="12" width="9.33203125" style="308" bestFit="1" customWidth="1"/>
    <col min="13" max="13" width="16.109375" style="308" bestFit="1" customWidth="1"/>
    <col min="14" max="14" width="14.5546875" style="308" bestFit="1" customWidth="1"/>
    <col min="15" max="15" width="15.77734375" style="308" bestFit="1" customWidth="1"/>
    <col min="16" max="16" width="22.33203125" style="308" bestFit="1" customWidth="1"/>
    <col min="17" max="17" width="12.6640625" style="308" bestFit="1" customWidth="1"/>
    <col min="18" max="16384" width="8" style="308"/>
  </cols>
  <sheetData>
    <row r="1" spans="1:17" ht="38.450000000000003" customHeight="1">
      <c r="A1" s="305" t="s">
        <v>152</v>
      </c>
      <c r="B1" s="305"/>
      <c r="C1" s="305"/>
      <c r="D1" s="305"/>
      <c r="E1" s="305"/>
      <c r="F1" s="305"/>
      <c r="G1" s="305" t="s">
        <v>153</v>
      </c>
      <c r="H1" s="305"/>
      <c r="I1" s="305"/>
      <c r="J1" s="305"/>
      <c r="K1" s="305"/>
      <c r="L1" s="305"/>
      <c r="M1" s="305"/>
      <c r="N1" s="305" t="s">
        <v>154</v>
      </c>
      <c r="O1" s="306"/>
      <c r="P1" s="307"/>
      <c r="Q1" s="307"/>
    </row>
    <row r="2" spans="1:17">
      <c r="A2" s="309" t="s">
        <v>155</v>
      </c>
      <c r="B2" s="310" t="s">
        <v>156</v>
      </c>
      <c r="C2" s="311" t="s">
        <v>157</v>
      </c>
      <c r="D2" s="312"/>
      <c r="E2" s="312"/>
      <c r="F2" s="313"/>
      <c r="G2" s="309" t="s">
        <v>155</v>
      </c>
      <c r="H2" s="314" t="s">
        <v>156</v>
      </c>
      <c r="I2" s="314"/>
      <c r="J2" s="311" t="s">
        <v>157</v>
      </c>
      <c r="K2" s="312"/>
      <c r="L2" s="312"/>
      <c r="M2" s="313"/>
      <c r="N2" s="310" t="s">
        <v>156</v>
      </c>
      <c r="O2" s="314" t="s">
        <v>157</v>
      </c>
      <c r="P2" s="314"/>
      <c r="Q2" s="314"/>
    </row>
    <row r="3" spans="1:17">
      <c r="A3" s="309"/>
      <c r="B3" s="315" t="s">
        <v>158</v>
      </c>
      <c r="C3" s="315" t="s">
        <v>159</v>
      </c>
      <c r="D3" s="315" t="s">
        <v>160</v>
      </c>
      <c r="E3" s="315" t="s">
        <v>161</v>
      </c>
      <c r="F3" s="316" t="s">
        <v>162</v>
      </c>
      <c r="G3" s="309"/>
      <c r="H3" s="315" t="s">
        <v>163</v>
      </c>
      <c r="I3" s="315" t="s">
        <v>164</v>
      </c>
      <c r="J3" s="316" t="s">
        <v>165</v>
      </c>
      <c r="K3" s="316" t="s">
        <v>166</v>
      </c>
      <c r="L3" s="316" t="s">
        <v>167</v>
      </c>
      <c r="M3" s="316" t="s">
        <v>168</v>
      </c>
      <c r="N3" s="315" t="s">
        <v>169</v>
      </c>
      <c r="O3" s="315" t="s">
        <v>170</v>
      </c>
      <c r="P3" s="315" t="s">
        <v>171</v>
      </c>
      <c r="Q3" s="315" t="s">
        <v>172</v>
      </c>
    </row>
    <row r="4" spans="1:17" ht="16.5" customHeight="1">
      <c r="A4" s="317" t="s">
        <v>173</v>
      </c>
      <c r="B4" s="318" t="s">
        <v>174</v>
      </c>
      <c r="C4" s="319" t="s">
        <v>174</v>
      </c>
      <c r="D4" s="319"/>
      <c r="E4" s="319"/>
      <c r="F4" s="319" t="s">
        <v>175</v>
      </c>
      <c r="G4" s="317" t="s">
        <v>173</v>
      </c>
      <c r="H4" s="320" t="s">
        <v>176</v>
      </c>
      <c r="I4" s="321" t="s">
        <v>177</v>
      </c>
      <c r="J4" s="319" t="s">
        <v>178</v>
      </c>
      <c r="K4" s="322">
        <v>1.4</v>
      </c>
      <c r="L4" s="323">
        <v>2.8</v>
      </c>
      <c r="M4" s="319" t="s">
        <v>179</v>
      </c>
      <c r="N4" s="324" t="s">
        <v>180</v>
      </c>
      <c r="O4" s="319" t="s">
        <v>180</v>
      </c>
      <c r="P4" s="319" t="s">
        <v>180</v>
      </c>
      <c r="Q4" s="319" t="s">
        <v>180</v>
      </c>
    </row>
    <row r="5" spans="1:17">
      <c r="A5" s="317"/>
      <c r="B5" s="325" t="s">
        <v>181</v>
      </c>
      <c r="C5" s="319" t="s">
        <v>181</v>
      </c>
      <c r="D5" s="326" t="s">
        <v>182</v>
      </c>
      <c r="E5" s="326" t="s">
        <v>183</v>
      </c>
      <c r="F5" s="319" t="s">
        <v>175</v>
      </c>
      <c r="G5" s="317"/>
      <c r="H5" s="320" t="s">
        <v>184</v>
      </c>
      <c r="I5" s="321" t="s">
        <v>185</v>
      </c>
      <c r="J5" s="322" t="s">
        <v>186</v>
      </c>
      <c r="K5" s="322">
        <v>1.4</v>
      </c>
      <c r="L5" s="322">
        <v>0.7</v>
      </c>
      <c r="M5" s="322" t="s">
        <v>179</v>
      </c>
      <c r="N5" s="324" t="s">
        <v>187</v>
      </c>
      <c r="O5" s="326" t="s">
        <v>187</v>
      </c>
      <c r="P5" s="326" t="s">
        <v>188</v>
      </c>
      <c r="Q5" s="326" t="s">
        <v>183</v>
      </c>
    </row>
    <row r="6" spans="1:17">
      <c r="A6" s="317"/>
      <c r="B6" s="325" t="s">
        <v>189</v>
      </c>
      <c r="C6" s="319" t="s">
        <v>189</v>
      </c>
      <c r="D6" s="326" t="s">
        <v>182</v>
      </c>
      <c r="E6" s="326" t="s">
        <v>183</v>
      </c>
      <c r="F6" s="319" t="s">
        <v>175</v>
      </c>
      <c r="G6" s="317"/>
      <c r="H6" s="320" t="s">
        <v>184</v>
      </c>
      <c r="I6" s="327" t="s">
        <v>190</v>
      </c>
      <c r="J6" s="322"/>
      <c r="K6" s="322"/>
      <c r="L6" s="322"/>
      <c r="M6" s="322" t="s">
        <v>191</v>
      </c>
      <c r="N6" s="324" t="s">
        <v>192</v>
      </c>
      <c r="O6" s="326" t="s">
        <v>193</v>
      </c>
      <c r="P6" s="326" t="s">
        <v>188</v>
      </c>
      <c r="Q6" s="326" t="s">
        <v>183</v>
      </c>
    </row>
    <row r="7" spans="1:17">
      <c r="A7" s="317"/>
      <c r="B7" s="325" t="s">
        <v>194</v>
      </c>
      <c r="C7" s="319" t="s">
        <v>195</v>
      </c>
      <c r="D7" s="326" t="s">
        <v>182</v>
      </c>
      <c r="E7" s="326" t="s">
        <v>183</v>
      </c>
      <c r="F7" s="319" t="s">
        <v>175</v>
      </c>
      <c r="G7" s="317"/>
      <c r="H7" s="320" t="s">
        <v>184</v>
      </c>
      <c r="I7" s="327" t="s">
        <v>196</v>
      </c>
      <c r="J7" s="326"/>
      <c r="K7" s="326"/>
      <c r="L7" s="326"/>
      <c r="M7" s="326"/>
      <c r="N7" s="324" t="s">
        <v>197</v>
      </c>
      <c r="O7" s="326" t="s">
        <v>198</v>
      </c>
      <c r="P7" s="326" t="s">
        <v>199</v>
      </c>
      <c r="Q7" s="326" t="s">
        <v>200</v>
      </c>
    </row>
    <row r="8" spans="1:17">
      <c r="A8" s="317"/>
      <c r="B8" s="318" t="s">
        <v>201</v>
      </c>
      <c r="C8" s="319" t="s">
        <v>202</v>
      </c>
      <c r="D8" s="326" t="s">
        <v>182</v>
      </c>
      <c r="E8" s="326" t="s">
        <v>183</v>
      </c>
      <c r="F8" s="319" t="s">
        <v>175</v>
      </c>
      <c r="G8" s="314" t="s">
        <v>203</v>
      </c>
      <c r="H8" s="320" t="s">
        <v>203</v>
      </c>
      <c r="I8" s="321" t="s">
        <v>177</v>
      </c>
      <c r="J8" s="322" t="s">
        <v>204</v>
      </c>
      <c r="K8" s="322">
        <v>2</v>
      </c>
      <c r="L8" s="322">
        <v>3.5</v>
      </c>
      <c r="M8" s="319" t="s">
        <v>179</v>
      </c>
      <c r="N8" s="324" t="s">
        <v>205</v>
      </c>
      <c r="O8" s="326" t="s">
        <v>206</v>
      </c>
      <c r="P8" s="326" t="s">
        <v>188</v>
      </c>
      <c r="Q8" s="326" t="s">
        <v>183</v>
      </c>
    </row>
    <row r="9" spans="1:17">
      <c r="A9" s="314" t="s">
        <v>203</v>
      </c>
      <c r="B9" s="318" t="s">
        <v>207</v>
      </c>
      <c r="C9" s="326" t="s">
        <v>208</v>
      </c>
      <c r="D9" s="326" t="s">
        <v>199</v>
      </c>
      <c r="E9" s="326" t="s">
        <v>209</v>
      </c>
      <c r="F9" s="326" t="s">
        <v>210</v>
      </c>
      <c r="G9" s="314"/>
      <c r="H9" s="320" t="s">
        <v>203</v>
      </c>
      <c r="I9" s="321" t="s">
        <v>211</v>
      </c>
      <c r="J9" s="322" t="s">
        <v>212</v>
      </c>
      <c r="K9" s="322">
        <v>3.5</v>
      </c>
      <c r="L9" s="322">
        <v>2</v>
      </c>
      <c r="M9" s="322" t="s">
        <v>179</v>
      </c>
      <c r="N9" s="324" t="s">
        <v>213</v>
      </c>
      <c r="O9" s="326" t="s">
        <v>214</v>
      </c>
      <c r="P9" s="326" t="s">
        <v>188</v>
      </c>
      <c r="Q9" s="326" t="s">
        <v>183</v>
      </c>
    </row>
    <row r="10" spans="1:17">
      <c r="A10" s="314"/>
      <c r="B10" s="318" t="s">
        <v>215</v>
      </c>
      <c r="C10" s="326" t="s">
        <v>216</v>
      </c>
      <c r="D10" s="326" t="s">
        <v>199</v>
      </c>
      <c r="E10" s="326" t="s">
        <v>200</v>
      </c>
      <c r="F10" s="326" t="s">
        <v>210</v>
      </c>
      <c r="G10" s="314"/>
      <c r="H10" s="320" t="s">
        <v>203</v>
      </c>
      <c r="I10" s="327" t="s">
        <v>190</v>
      </c>
      <c r="J10" s="322" t="s">
        <v>217</v>
      </c>
      <c r="K10" s="322">
        <v>4</v>
      </c>
      <c r="L10" s="322">
        <v>4</v>
      </c>
      <c r="M10" s="322" t="s">
        <v>191</v>
      </c>
      <c r="N10" s="324" t="s">
        <v>218</v>
      </c>
      <c r="O10" s="326" t="s">
        <v>219</v>
      </c>
      <c r="P10" s="326" t="s">
        <v>199</v>
      </c>
      <c r="Q10" s="326" t="s">
        <v>200</v>
      </c>
    </row>
    <row r="11" spans="1:17">
      <c r="A11" s="314"/>
      <c r="B11" s="318" t="s">
        <v>220</v>
      </c>
      <c r="C11" s="326" t="s">
        <v>221</v>
      </c>
      <c r="D11" s="326" t="s">
        <v>222</v>
      </c>
      <c r="E11" s="326" t="s">
        <v>183</v>
      </c>
      <c r="F11" s="326" t="s">
        <v>210</v>
      </c>
      <c r="G11" s="314"/>
      <c r="H11" s="320" t="s">
        <v>203</v>
      </c>
      <c r="I11" s="327" t="s">
        <v>196</v>
      </c>
      <c r="J11" s="326"/>
      <c r="K11" s="326"/>
      <c r="L11" s="326"/>
      <c r="M11" s="326"/>
      <c r="N11" s="328" t="s">
        <v>223</v>
      </c>
      <c r="O11" s="326"/>
      <c r="P11" s="326"/>
      <c r="Q11" s="326"/>
    </row>
    <row r="12" spans="1:17">
      <c r="A12" s="314"/>
      <c r="B12" s="318" t="s">
        <v>224</v>
      </c>
      <c r="C12" s="326" t="s">
        <v>225</v>
      </c>
      <c r="D12" s="326" t="s">
        <v>182</v>
      </c>
      <c r="E12" s="326" t="s">
        <v>183</v>
      </c>
      <c r="F12" s="326" t="s">
        <v>210</v>
      </c>
      <c r="G12" s="314" t="s">
        <v>226</v>
      </c>
      <c r="H12" s="320" t="s">
        <v>226</v>
      </c>
      <c r="I12" s="321" t="s">
        <v>177</v>
      </c>
      <c r="J12" s="322" t="s">
        <v>178</v>
      </c>
      <c r="K12" s="322">
        <v>2.5</v>
      </c>
      <c r="L12" s="322">
        <v>3.5</v>
      </c>
      <c r="M12" s="319" t="s">
        <v>179</v>
      </c>
    </row>
    <row r="13" spans="1:17">
      <c r="A13" s="314"/>
      <c r="B13" s="318" t="s">
        <v>227</v>
      </c>
      <c r="C13" s="326" t="s">
        <v>228</v>
      </c>
      <c r="D13" s="326" t="s">
        <v>182</v>
      </c>
      <c r="E13" s="326" t="s">
        <v>183</v>
      </c>
      <c r="F13" s="326" t="s">
        <v>210</v>
      </c>
      <c r="G13" s="314"/>
      <c r="H13" s="320" t="s">
        <v>226</v>
      </c>
      <c r="I13" s="321" t="s">
        <v>211</v>
      </c>
      <c r="J13" s="322" t="s">
        <v>186</v>
      </c>
      <c r="K13" s="322">
        <v>3.5</v>
      </c>
      <c r="L13" s="322">
        <v>2.5</v>
      </c>
      <c r="M13" s="322" t="s">
        <v>179</v>
      </c>
    </row>
    <row r="14" spans="1:17">
      <c r="A14" s="314"/>
      <c r="B14" s="318" t="s">
        <v>229</v>
      </c>
      <c r="C14" s="326" t="s">
        <v>230</v>
      </c>
      <c r="D14" s="326" t="s">
        <v>182</v>
      </c>
      <c r="E14" s="326" t="s">
        <v>183</v>
      </c>
      <c r="F14" s="326" t="s">
        <v>210</v>
      </c>
      <c r="G14" s="314"/>
      <c r="H14" s="320" t="s">
        <v>226</v>
      </c>
      <c r="I14" s="327" t="s">
        <v>190</v>
      </c>
      <c r="J14" s="322" t="s">
        <v>217</v>
      </c>
      <c r="K14" s="322">
        <v>4</v>
      </c>
      <c r="L14" s="322">
        <v>4</v>
      </c>
      <c r="M14" s="322" t="s">
        <v>191</v>
      </c>
    </row>
    <row r="15" spans="1:17">
      <c r="A15" s="314" t="s">
        <v>226</v>
      </c>
      <c r="B15" s="325" t="s">
        <v>231</v>
      </c>
      <c r="C15" s="326" t="s">
        <v>231</v>
      </c>
      <c r="D15" s="326" t="s">
        <v>182</v>
      </c>
      <c r="E15" s="326" t="s">
        <v>183</v>
      </c>
      <c r="F15" s="326" t="s">
        <v>210</v>
      </c>
      <c r="G15" s="314"/>
      <c r="H15" s="320" t="s">
        <v>226</v>
      </c>
      <c r="I15" s="327" t="s">
        <v>196</v>
      </c>
      <c r="J15" s="326"/>
      <c r="K15" s="326"/>
      <c r="L15" s="326"/>
      <c r="M15" s="326"/>
    </row>
    <row r="16" spans="1:17">
      <c r="A16" s="314"/>
      <c r="B16" s="318" t="s">
        <v>232</v>
      </c>
      <c r="C16" s="326" t="s">
        <v>233</v>
      </c>
      <c r="D16" s="326" t="s">
        <v>182</v>
      </c>
      <c r="E16" s="326" t="s">
        <v>183</v>
      </c>
      <c r="F16" s="326" t="s">
        <v>210</v>
      </c>
      <c r="G16" s="314" t="s">
        <v>234</v>
      </c>
      <c r="H16" s="320" t="s">
        <v>234</v>
      </c>
      <c r="I16" s="321" t="s">
        <v>177</v>
      </c>
      <c r="J16" s="322" t="s">
        <v>178</v>
      </c>
      <c r="K16" s="322">
        <v>1.2</v>
      </c>
      <c r="L16" s="322">
        <v>2.4</v>
      </c>
      <c r="M16" s="319" t="s">
        <v>179</v>
      </c>
    </row>
    <row r="17" spans="1:13">
      <c r="A17" s="314"/>
      <c r="B17" s="325" t="s">
        <v>235</v>
      </c>
      <c r="C17" s="326" t="s">
        <v>235</v>
      </c>
      <c r="D17" s="326" t="s">
        <v>182</v>
      </c>
      <c r="E17" s="326" t="s">
        <v>183</v>
      </c>
      <c r="F17" s="326" t="s">
        <v>210</v>
      </c>
      <c r="G17" s="314"/>
      <c r="H17" s="320" t="s">
        <v>234</v>
      </c>
      <c r="I17" s="321" t="s">
        <v>211</v>
      </c>
      <c r="J17" s="322" t="s">
        <v>212</v>
      </c>
      <c r="K17" s="322">
        <v>2</v>
      </c>
      <c r="L17" s="322">
        <v>1.2</v>
      </c>
      <c r="M17" s="322" t="s">
        <v>179</v>
      </c>
    </row>
    <row r="18" spans="1:13">
      <c r="A18" s="314"/>
      <c r="B18" s="325" t="s">
        <v>236</v>
      </c>
      <c r="C18" s="326" t="s">
        <v>237</v>
      </c>
      <c r="D18" s="326" t="s">
        <v>182</v>
      </c>
      <c r="E18" s="326" t="s">
        <v>183</v>
      </c>
      <c r="F18" s="326" t="s">
        <v>210</v>
      </c>
      <c r="G18" s="314"/>
      <c r="H18" s="320" t="s">
        <v>234</v>
      </c>
      <c r="I18" s="327" t="s">
        <v>190</v>
      </c>
      <c r="J18" s="322"/>
      <c r="K18" s="322"/>
      <c r="L18" s="322"/>
      <c r="M18" s="322" t="s">
        <v>191</v>
      </c>
    </row>
    <row r="19" spans="1:13">
      <c r="A19" s="314"/>
      <c r="B19" s="325" t="s">
        <v>238</v>
      </c>
      <c r="C19" s="326" t="s">
        <v>239</v>
      </c>
      <c r="D19" s="326" t="s">
        <v>182</v>
      </c>
      <c r="E19" s="326" t="s">
        <v>183</v>
      </c>
      <c r="F19" s="326" t="s">
        <v>210</v>
      </c>
      <c r="G19" s="314"/>
      <c r="H19" s="320" t="s">
        <v>234</v>
      </c>
      <c r="I19" s="327" t="s">
        <v>196</v>
      </c>
      <c r="J19" s="326"/>
      <c r="K19" s="326"/>
      <c r="L19" s="326"/>
      <c r="M19" s="326"/>
    </row>
    <row r="20" spans="1:13">
      <c r="A20" s="314"/>
      <c r="B20" s="318" t="s">
        <v>240</v>
      </c>
      <c r="C20" s="326" t="s">
        <v>241</v>
      </c>
      <c r="D20" s="326"/>
      <c r="E20" s="326"/>
      <c r="F20" s="326" t="s">
        <v>210</v>
      </c>
      <c r="G20" s="314" t="s">
        <v>242</v>
      </c>
      <c r="H20" s="320" t="s">
        <v>242</v>
      </c>
      <c r="I20" s="321" t="s">
        <v>177</v>
      </c>
      <c r="J20" s="319" t="s">
        <v>178</v>
      </c>
      <c r="K20" s="319"/>
      <c r="L20" s="319"/>
      <c r="M20" s="319" t="s">
        <v>179</v>
      </c>
    </row>
    <row r="21" spans="1:13">
      <c r="A21" s="314"/>
      <c r="B21" s="318" t="s">
        <v>243</v>
      </c>
      <c r="C21" s="326" t="s">
        <v>244</v>
      </c>
      <c r="D21" s="326"/>
      <c r="E21" s="326"/>
      <c r="F21" s="326" t="s">
        <v>210</v>
      </c>
      <c r="G21" s="314"/>
      <c r="H21" s="320" t="s">
        <v>242</v>
      </c>
      <c r="I21" s="321" t="s">
        <v>211</v>
      </c>
      <c r="J21" s="322" t="s">
        <v>212</v>
      </c>
      <c r="K21" s="322">
        <v>3.5</v>
      </c>
      <c r="L21" s="322">
        <v>2</v>
      </c>
      <c r="M21" s="322" t="s">
        <v>179</v>
      </c>
    </row>
    <row r="22" spans="1:13">
      <c r="A22" s="314"/>
      <c r="B22" s="318" t="s">
        <v>245</v>
      </c>
      <c r="C22" s="326" t="s">
        <v>246</v>
      </c>
      <c r="D22" s="326"/>
      <c r="E22" s="326"/>
      <c r="F22" s="326" t="s">
        <v>210</v>
      </c>
      <c r="G22" s="314"/>
      <c r="H22" s="320" t="s">
        <v>242</v>
      </c>
      <c r="I22" s="327" t="s">
        <v>190</v>
      </c>
      <c r="J22" s="322"/>
      <c r="K22" s="322"/>
      <c r="L22" s="322"/>
      <c r="M22" s="322" t="s">
        <v>191</v>
      </c>
    </row>
    <row r="23" spans="1:13">
      <c r="A23" s="314" t="s">
        <v>234</v>
      </c>
      <c r="B23" s="318" t="s">
        <v>247</v>
      </c>
      <c r="C23" s="326" t="s">
        <v>247</v>
      </c>
      <c r="D23" s="326" t="s">
        <v>182</v>
      </c>
      <c r="E23" s="326" t="s">
        <v>183</v>
      </c>
      <c r="F23" s="326" t="s">
        <v>175</v>
      </c>
      <c r="G23" s="314"/>
      <c r="H23" s="320" t="s">
        <v>242</v>
      </c>
      <c r="I23" s="327" t="s">
        <v>196</v>
      </c>
      <c r="J23" s="326"/>
      <c r="K23" s="326"/>
      <c r="L23" s="326"/>
      <c r="M23" s="326"/>
    </row>
    <row r="24" spans="1:13">
      <c r="A24" s="314"/>
      <c r="B24" s="318" t="s">
        <v>248</v>
      </c>
      <c r="C24" s="326" t="s">
        <v>248</v>
      </c>
      <c r="D24" s="326" t="s">
        <v>182</v>
      </c>
      <c r="E24" s="326" t="s">
        <v>183</v>
      </c>
      <c r="F24" s="326" t="s">
        <v>175</v>
      </c>
      <c r="G24" s="314" t="s">
        <v>249</v>
      </c>
      <c r="H24" s="320" t="s">
        <v>249</v>
      </c>
      <c r="I24" s="321" t="s">
        <v>177</v>
      </c>
      <c r="J24" s="322" t="s">
        <v>178</v>
      </c>
      <c r="K24" s="322" t="s">
        <v>250</v>
      </c>
      <c r="L24" s="322" t="s">
        <v>251</v>
      </c>
      <c r="M24" s="326" t="s">
        <v>252</v>
      </c>
    </row>
    <row r="25" spans="1:13">
      <c r="A25" s="314"/>
      <c r="B25" s="318" t="s">
        <v>253</v>
      </c>
      <c r="C25" s="326" t="s">
        <v>253</v>
      </c>
      <c r="D25" s="326" t="s">
        <v>182</v>
      </c>
      <c r="E25" s="326" t="s">
        <v>183</v>
      </c>
      <c r="F25" s="326" t="s">
        <v>175</v>
      </c>
      <c r="G25" s="314"/>
      <c r="H25" s="320" t="s">
        <v>249</v>
      </c>
      <c r="I25" s="321" t="s">
        <v>211</v>
      </c>
      <c r="J25" s="322" t="s">
        <v>186</v>
      </c>
      <c r="K25" s="322" t="s">
        <v>251</v>
      </c>
      <c r="L25" s="322" t="s">
        <v>250</v>
      </c>
      <c r="M25" s="326" t="s">
        <v>252</v>
      </c>
    </row>
    <row r="26" spans="1:13">
      <c r="A26" s="314"/>
      <c r="B26" s="318" t="s">
        <v>254</v>
      </c>
      <c r="C26" s="326" t="s">
        <v>254</v>
      </c>
      <c r="D26" s="326"/>
      <c r="E26" s="326"/>
      <c r="F26" s="326" t="s">
        <v>175</v>
      </c>
      <c r="G26" s="314"/>
      <c r="H26" s="320" t="s">
        <v>249</v>
      </c>
      <c r="I26" s="327" t="s">
        <v>190</v>
      </c>
      <c r="J26" s="322"/>
      <c r="K26" s="322"/>
      <c r="L26" s="322"/>
      <c r="M26" s="326" t="s">
        <v>252</v>
      </c>
    </row>
    <row r="27" spans="1:13">
      <c r="A27" s="329" t="s">
        <v>242</v>
      </c>
      <c r="B27" s="318" t="s">
        <v>255</v>
      </c>
      <c r="C27" s="326" t="s">
        <v>255</v>
      </c>
      <c r="D27" s="326"/>
      <c r="E27" s="326"/>
      <c r="F27" s="326" t="s">
        <v>210</v>
      </c>
      <c r="G27" s="314"/>
      <c r="H27" s="320" t="s">
        <v>249</v>
      </c>
      <c r="I27" s="327" t="s">
        <v>196</v>
      </c>
      <c r="J27" s="326"/>
      <c r="K27" s="326"/>
      <c r="L27" s="326"/>
      <c r="M27" s="326"/>
    </row>
    <row r="28" spans="1:13">
      <c r="A28" s="330"/>
      <c r="B28" s="318" t="s">
        <v>256</v>
      </c>
      <c r="C28" s="326" t="s">
        <v>256</v>
      </c>
      <c r="D28" s="326" t="s">
        <v>182</v>
      </c>
      <c r="E28" s="326" t="s">
        <v>183</v>
      </c>
      <c r="F28" s="326" t="s">
        <v>210</v>
      </c>
      <c r="G28" s="314" t="s">
        <v>257</v>
      </c>
      <c r="H28" s="320" t="s">
        <v>257</v>
      </c>
      <c r="I28" s="321" t="s">
        <v>177</v>
      </c>
      <c r="J28" s="322" t="s">
        <v>178</v>
      </c>
      <c r="K28" s="322">
        <v>2.5</v>
      </c>
      <c r="L28" s="322">
        <v>3.5</v>
      </c>
      <c r="M28" s="319" t="s">
        <v>179</v>
      </c>
    </row>
    <row r="29" spans="1:13">
      <c r="A29" s="330"/>
      <c r="B29" s="318" t="s">
        <v>258</v>
      </c>
      <c r="C29" s="326" t="s">
        <v>258</v>
      </c>
      <c r="D29" s="326"/>
      <c r="E29" s="326"/>
      <c r="F29" s="326" t="s">
        <v>210</v>
      </c>
      <c r="G29" s="314"/>
      <c r="H29" s="320" t="s">
        <v>257</v>
      </c>
      <c r="I29" s="321" t="s">
        <v>211</v>
      </c>
      <c r="J29" s="322" t="s">
        <v>186</v>
      </c>
      <c r="K29" s="322">
        <v>3.5</v>
      </c>
      <c r="L29" s="322">
        <v>2</v>
      </c>
      <c r="M29" s="322" t="s">
        <v>179</v>
      </c>
    </row>
    <row r="30" spans="1:13">
      <c r="A30" s="331"/>
      <c r="B30" s="318" t="s">
        <v>259</v>
      </c>
      <c r="C30" s="326" t="s">
        <v>259</v>
      </c>
      <c r="D30" s="326"/>
      <c r="E30" s="326"/>
      <c r="F30" s="326" t="s">
        <v>210</v>
      </c>
      <c r="G30" s="314"/>
      <c r="H30" s="320" t="s">
        <v>257</v>
      </c>
      <c r="I30" s="327" t="s">
        <v>190</v>
      </c>
      <c r="J30" s="322" t="s">
        <v>260</v>
      </c>
      <c r="K30" s="326"/>
      <c r="L30" s="326"/>
      <c r="M30" s="322" t="s">
        <v>191</v>
      </c>
    </row>
    <row r="31" spans="1:13">
      <c r="A31" s="329" t="s">
        <v>249</v>
      </c>
      <c r="B31" s="318" t="s">
        <v>261</v>
      </c>
      <c r="C31" s="326" t="s">
        <v>262</v>
      </c>
      <c r="D31" s="326" t="s">
        <v>180</v>
      </c>
      <c r="E31" s="326" t="s">
        <v>180</v>
      </c>
      <c r="F31" s="326" t="s">
        <v>249</v>
      </c>
      <c r="G31" s="314"/>
      <c r="H31" s="320" t="s">
        <v>257</v>
      </c>
      <c r="I31" s="327" t="s">
        <v>196</v>
      </c>
      <c r="J31" s="326"/>
      <c r="K31" s="326"/>
      <c r="L31" s="326"/>
      <c r="M31" s="326"/>
    </row>
    <row r="32" spans="1:13">
      <c r="A32" s="331"/>
      <c r="B32" s="318" t="s">
        <v>263</v>
      </c>
      <c r="C32" s="326" t="s">
        <v>262</v>
      </c>
      <c r="D32" s="326" t="s">
        <v>180</v>
      </c>
      <c r="E32" s="326" t="s">
        <v>180</v>
      </c>
      <c r="F32" s="326" t="s">
        <v>249</v>
      </c>
      <c r="G32" s="314" t="s">
        <v>264</v>
      </c>
      <c r="H32" s="332" t="s">
        <v>264</v>
      </c>
      <c r="I32" s="321" t="s">
        <v>177</v>
      </c>
      <c r="J32" s="322" t="s">
        <v>178</v>
      </c>
      <c r="K32" s="322">
        <v>2</v>
      </c>
      <c r="L32" s="322">
        <v>3.5</v>
      </c>
      <c r="M32" s="319" t="s">
        <v>179</v>
      </c>
    </row>
    <row r="33" spans="1:13">
      <c r="A33" s="329" t="s">
        <v>257</v>
      </c>
      <c r="B33" s="318" t="s">
        <v>265</v>
      </c>
      <c r="C33" s="326" t="s">
        <v>266</v>
      </c>
      <c r="D33" s="326" t="s">
        <v>188</v>
      </c>
      <c r="E33" s="326" t="s">
        <v>267</v>
      </c>
      <c r="F33" s="326" t="s">
        <v>210</v>
      </c>
      <c r="G33" s="314"/>
      <c r="H33" s="332" t="s">
        <v>264</v>
      </c>
      <c r="I33" s="321" t="s">
        <v>211</v>
      </c>
      <c r="J33" s="322" t="s">
        <v>186</v>
      </c>
      <c r="K33" s="322">
        <v>3.5</v>
      </c>
      <c r="L33" s="322">
        <v>2</v>
      </c>
      <c r="M33" s="322" t="s">
        <v>179</v>
      </c>
    </row>
    <row r="34" spans="1:13">
      <c r="A34" s="330"/>
      <c r="B34" s="318" t="s">
        <v>268</v>
      </c>
      <c r="C34" s="326" t="s">
        <v>269</v>
      </c>
      <c r="D34" s="326" t="s">
        <v>188</v>
      </c>
      <c r="E34" s="326" t="s">
        <v>267</v>
      </c>
      <c r="F34" s="326" t="s">
        <v>210</v>
      </c>
      <c r="G34" s="314"/>
      <c r="H34" s="332" t="s">
        <v>264</v>
      </c>
      <c r="I34" s="327" t="s">
        <v>190</v>
      </c>
      <c r="J34" s="326"/>
      <c r="K34" s="326"/>
      <c r="L34" s="326"/>
      <c r="M34" s="322" t="s">
        <v>191</v>
      </c>
    </row>
    <row r="35" spans="1:13">
      <c r="A35" s="330"/>
      <c r="B35" s="318" t="s">
        <v>270</v>
      </c>
      <c r="C35" s="326" t="s">
        <v>271</v>
      </c>
      <c r="D35" s="326" t="s">
        <v>188</v>
      </c>
      <c r="E35" s="326" t="s">
        <v>267</v>
      </c>
      <c r="F35" s="326" t="s">
        <v>210</v>
      </c>
      <c r="G35" s="314"/>
      <c r="H35" s="332" t="s">
        <v>264</v>
      </c>
      <c r="I35" s="327" t="s">
        <v>196</v>
      </c>
      <c r="J35" s="326"/>
      <c r="K35" s="326"/>
      <c r="L35" s="326"/>
      <c r="M35" s="326"/>
    </row>
    <row r="36" spans="1:13">
      <c r="A36" s="330"/>
      <c r="B36" s="318" t="s">
        <v>272</v>
      </c>
      <c r="C36" s="326" t="s">
        <v>273</v>
      </c>
      <c r="D36" s="326"/>
      <c r="E36" s="326"/>
      <c r="F36" s="326" t="s">
        <v>210</v>
      </c>
      <c r="G36" s="314" t="s">
        <v>274</v>
      </c>
      <c r="H36" s="320" t="s">
        <v>274</v>
      </c>
      <c r="I36" s="321" t="s">
        <v>177</v>
      </c>
      <c r="J36" s="322" t="s">
        <v>178</v>
      </c>
      <c r="K36" s="322">
        <v>2</v>
      </c>
      <c r="L36" s="322">
        <v>3.5</v>
      </c>
      <c r="M36" s="319" t="s">
        <v>179</v>
      </c>
    </row>
    <row r="37" spans="1:13">
      <c r="A37" s="330"/>
      <c r="B37" s="318" t="s">
        <v>275</v>
      </c>
      <c r="C37" s="326" t="s">
        <v>276</v>
      </c>
      <c r="D37" s="326"/>
      <c r="E37" s="326"/>
      <c r="F37" s="326" t="s">
        <v>210</v>
      </c>
      <c r="G37" s="314"/>
      <c r="H37" s="320" t="s">
        <v>274</v>
      </c>
      <c r="I37" s="321" t="s">
        <v>211</v>
      </c>
      <c r="J37" s="322" t="s">
        <v>186</v>
      </c>
      <c r="K37" s="322">
        <v>3.5</v>
      </c>
      <c r="L37" s="322">
        <v>2</v>
      </c>
      <c r="M37" s="322" t="s">
        <v>179</v>
      </c>
    </row>
    <row r="38" spans="1:13">
      <c r="A38" s="330"/>
      <c r="B38" s="318" t="s">
        <v>277</v>
      </c>
      <c r="C38" s="326" t="s">
        <v>278</v>
      </c>
      <c r="D38" s="326" t="s">
        <v>188</v>
      </c>
      <c r="E38" s="326" t="s">
        <v>267</v>
      </c>
      <c r="F38" s="326" t="s">
        <v>210</v>
      </c>
      <c r="G38" s="314"/>
      <c r="H38" s="320" t="s">
        <v>274</v>
      </c>
      <c r="I38" s="327" t="s">
        <v>190</v>
      </c>
      <c r="J38" s="322" t="s">
        <v>217</v>
      </c>
      <c r="K38" s="322">
        <v>4</v>
      </c>
      <c r="L38" s="322">
        <v>4</v>
      </c>
      <c r="M38" s="322" t="s">
        <v>191</v>
      </c>
    </row>
    <row r="39" spans="1:13">
      <c r="A39" s="330"/>
      <c r="B39" s="318" t="s">
        <v>279</v>
      </c>
      <c r="C39" s="326" t="s">
        <v>279</v>
      </c>
      <c r="D39" s="326"/>
      <c r="E39" s="326"/>
      <c r="F39" s="326" t="s">
        <v>210</v>
      </c>
      <c r="G39" s="314"/>
      <c r="H39" s="320" t="s">
        <v>274</v>
      </c>
      <c r="I39" s="327" t="s">
        <v>196</v>
      </c>
      <c r="J39" s="326"/>
      <c r="K39" s="326"/>
      <c r="L39" s="326"/>
      <c r="M39" s="326"/>
    </row>
    <row r="40" spans="1:13">
      <c r="A40" s="331"/>
      <c r="B40" s="318" t="s">
        <v>280</v>
      </c>
      <c r="C40" s="326" t="s">
        <v>280</v>
      </c>
      <c r="D40" s="326"/>
      <c r="E40" s="326"/>
      <c r="F40" s="326" t="s">
        <v>210</v>
      </c>
      <c r="G40" s="314" t="s">
        <v>281</v>
      </c>
      <c r="H40" s="320" t="s">
        <v>281</v>
      </c>
      <c r="I40" s="321" t="s">
        <v>177</v>
      </c>
      <c r="J40" s="322" t="s">
        <v>178</v>
      </c>
      <c r="K40" s="326"/>
      <c r="L40" s="326"/>
      <c r="M40" s="319" t="s">
        <v>179</v>
      </c>
    </row>
    <row r="41" spans="1:13">
      <c r="A41" s="329" t="s">
        <v>264</v>
      </c>
      <c r="B41" s="318" t="s">
        <v>282</v>
      </c>
      <c r="C41" s="326" t="s">
        <v>283</v>
      </c>
      <c r="D41" s="326" t="s">
        <v>182</v>
      </c>
      <c r="E41" s="326" t="s">
        <v>183</v>
      </c>
      <c r="F41" s="326" t="s">
        <v>210</v>
      </c>
      <c r="G41" s="314"/>
      <c r="H41" s="320" t="s">
        <v>281</v>
      </c>
      <c r="I41" s="321" t="s">
        <v>211</v>
      </c>
      <c r="J41" s="322" t="s">
        <v>186</v>
      </c>
      <c r="K41" s="326"/>
      <c r="L41" s="326"/>
      <c r="M41" s="322" t="s">
        <v>179</v>
      </c>
    </row>
    <row r="42" spans="1:13">
      <c r="A42" s="330"/>
      <c r="B42" s="318" t="s">
        <v>284</v>
      </c>
      <c r="C42" s="326" t="s">
        <v>269</v>
      </c>
      <c r="D42" s="326" t="s">
        <v>182</v>
      </c>
      <c r="E42" s="326" t="s">
        <v>183</v>
      </c>
      <c r="F42" s="326" t="s">
        <v>210</v>
      </c>
      <c r="G42" s="314"/>
      <c r="H42" s="320" t="s">
        <v>281</v>
      </c>
      <c r="I42" s="327" t="s">
        <v>190</v>
      </c>
      <c r="J42" s="326"/>
      <c r="K42" s="326"/>
      <c r="L42" s="326"/>
      <c r="M42" s="322" t="s">
        <v>191</v>
      </c>
    </row>
    <row r="43" spans="1:13">
      <c r="A43" s="330"/>
      <c r="B43" s="318" t="s">
        <v>285</v>
      </c>
      <c r="C43" s="326" t="s">
        <v>286</v>
      </c>
      <c r="D43" s="326" t="s">
        <v>182</v>
      </c>
      <c r="E43" s="326" t="s">
        <v>183</v>
      </c>
      <c r="F43" s="326" t="s">
        <v>210</v>
      </c>
      <c r="G43" s="314"/>
      <c r="H43" s="320" t="s">
        <v>281</v>
      </c>
      <c r="I43" s="327" t="s">
        <v>196</v>
      </c>
      <c r="J43" s="326"/>
      <c r="K43" s="326"/>
      <c r="L43" s="326"/>
      <c r="M43" s="326"/>
    </row>
    <row r="44" spans="1:13">
      <c r="A44" s="330"/>
      <c r="B44" s="325" t="s">
        <v>287</v>
      </c>
      <c r="C44" s="326" t="s">
        <v>271</v>
      </c>
      <c r="D44" s="326" t="s">
        <v>182</v>
      </c>
      <c r="E44" s="326" t="s">
        <v>183</v>
      </c>
      <c r="F44" s="326" t="s">
        <v>210</v>
      </c>
      <c r="G44" s="314" t="s">
        <v>288</v>
      </c>
      <c r="H44" s="320" t="s">
        <v>288</v>
      </c>
      <c r="I44" s="321" t="s">
        <v>177</v>
      </c>
      <c r="J44" s="322" t="s">
        <v>178</v>
      </c>
      <c r="K44" s="322">
        <v>2</v>
      </c>
      <c r="L44" s="322">
        <v>3.5</v>
      </c>
      <c r="M44" s="319" t="s">
        <v>179</v>
      </c>
    </row>
    <row r="45" spans="1:13">
      <c r="A45" s="330"/>
      <c r="B45" s="318" t="s">
        <v>289</v>
      </c>
      <c r="C45" s="326" t="s">
        <v>290</v>
      </c>
      <c r="D45" s="326"/>
      <c r="E45" s="326"/>
      <c r="F45" s="326" t="s">
        <v>210</v>
      </c>
      <c r="G45" s="314"/>
      <c r="H45" s="320" t="s">
        <v>288</v>
      </c>
      <c r="I45" s="321" t="s">
        <v>211</v>
      </c>
      <c r="J45" s="322" t="s">
        <v>186</v>
      </c>
      <c r="K45" s="326"/>
      <c r="L45" s="326"/>
      <c r="M45" s="322" t="s">
        <v>179</v>
      </c>
    </row>
    <row r="46" spans="1:13">
      <c r="A46" s="331"/>
      <c r="B46" s="325" t="s">
        <v>291</v>
      </c>
      <c r="C46" s="326" t="s">
        <v>278</v>
      </c>
      <c r="D46" s="326" t="s">
        <v>182</v>
      </c>
      <c r="E46" s="326" t="s">
        <v>183</v>
      </c>
      <c r="F46" s="326" t="s">
        <v>210</v>
      </c>
      <c r="G46" s="314"/>
      <c r="H46" s="320" t="s">
        <v>288</v>
      </c>
      <c r="I46" s="327" t="s">
        <v>190</v>
      </c>
      <c r="J46" s="326"/>
      <c r="K46" s="326"/>
      <c r="L46" s="326"/>
      <c r="M46" s="322" t="s">
        <v>191</v>
      </c>
    </row>
    <row r="47" spans="1:13">
      <c r="A47" s="329" t="s">
        <v>274</v>
      </c>
      <c r="B47" s="325" t="s">
        <v>292</v>
      </c>
      <c r="C47" s="326" t="s">
        <v>293</v>
      </c>
      <c r="D47" s="326" t="s">
        <v>222</v>
      </c>
      <c r="E47" s="326" t="s">
        <v>200</v>
      </c>
      <c r="F47" s="326" t="s">
        <v>210</v>
      </c>
      <c r="G47" s="314"/>
      <c r="H47" s="320" t="s">
        <v>288</v>
      </c>
      <c r="I47" s="327" t="s">
        <v>196</v>
      </c>
      <c r="J47" s="326"/>
      <c r="K47" s="326"/>
      <c r="L47" s="326"/>
      <c r="M47" s="326"/>
    </row>
    <row r="48" spans="1:13">
      <c r="A48" s="330"/>
      <c r="B48" s="318" t="s">
        <v>294</v>
      </c>
      <c r="C48" s="326" t="s">
        <v>295</v>
      </c>
      <c r="D48" s="326" t="s">
        <v>182</v>
      </c>
      <c r="E48" s="326" t="s">
        <v>183</v>
      </c>
      <c r="F48" s="326" t="s">
        <v>210</v>
      </c>
      <c r="G48" s="314" t="s">
        <v>196</v>
      </c>
      <c r="H48" s="333" t="s">
        <v>196</v>
      </c>
      <c r="I48" s="321" t="s">
        <v>177</v>
      </c>
      <c r="J48" s="322" t="s">
        <v>178</v>
      </c>
      <c r="K48" s="326"/>
      <c r="L48" s="326"/>
      <c r="M48" s="326"/>
    </row>
    <row r="49" spans="1:13">
      <c r="A49" s="330"/>
      <c r="B49" s="318" t="s">
        <v>296</v>
      </c>
      <c r="C49" s="326" t="s">
        <v>297</v>
      </c>
      <c r="D49" s="326"/>
      <c r="E49" s="326"/>
      <c r="F49" s="326" t="s">
        <v>210</v>
      </c>
      <c r="G49" s="314"/>
      <c r="H49" s="333" t="s">
        <v>196</v>
      </c>
      <c r="I49" s="321" t="s">
        <v>211</v>
      </c>
      <c r="J49" s="322" t="s">
        <v>186</v>
      </c>
      <c r="K49" s="326"/>
      <c r="L49" s="326"/>
      <c r="M49" s="326"/>
    </row>
    <row r="50" spans="1:13">
      <c r="A50" s="330"/>
      <c r="B50" s="318" t="s">
        <v>298</v>
      </c>
      <c r="C50" s="326" t="s">
        <v>299</v>
      </c>
      <c r="D50" s="326"/>
      <c r="E50" s="326"/>
      <c r="F50" s="326" t="s">
        <v>210</v>
      </c>
      <c r="G50" s="314"/>
      <c r="H50" s="333" t="s">
        <v>196</v>
      </c>
      <c r="I50" s="327" t="s">
        <v>190</v>
      </c>
      <c r="J50" s="326"/>
      <c r="K50" s="326"/>
      <c r="L50" s="326"/>
      <c r="M50" s="326"/>
    </row>
    <row r="51" spans="1:13">
      <c r="A51" s="330"/>
      <c r="B51" s="318" t="s">
        <v>300</v>
      </c>
      <c r="C51" s="326" t="s">
        <v>300</v>
      </c>
      <c r="D51" s="326"/>
      <c r="E51" s="326"/>
      <c r="F51" s="326" t="s">
        <v>210</v>
      </c>
      <c r="G51" s="314"/>
      <c r="H51" s="333" t="s">
        <v>196</v>
      </c>
      <c r="I51" s="327" t="s">
        <v>196</v>
      </c>
      <c r="J51" s="326"/>
      <c r="K51" s="326"/>
      <c r="L51" s="326"/>
      <c r="M51" s="326"/>
    </row>
    <row r="52" spans="1:13">
      <c r="A52" s="330"/>
      <c r="B52" s="318" t="s">
        <v>301</v>
      </c>
      <c r="C52" s="326" t="s">
        <v>301</v>
      </c>
      <c r="D52" s="326"/>
      <c r="E52" s="326"/>
      <c r="F52" s="326" t="s">
        <v>210</v>
      </c>
    </row>
    <row r="53" spans="1:13">
      <c r="A53" s="330"/>
      <c r="B53" s="318" t="s">
        <v>302</v>
      </c>
      <c r="C53" s="326" t="s">
        <v>303</v>
      </c>
      <c r="D53" s="326" t="s">
        <v>182</v>
      </c>
      <c r="E53" s="326" t="s">
        <v>183</v>
      </c>
      <c r="F53" s="326" t="s">
        <v>210</v>
      </c>
    </row>
    <row r="54" spans="1:13">
      <c r="A54" s="330"/>
      <c r="B54" s="318" t="s">
        <v>304</v>
      </c>
      <c r="C54" s="326" t="s">
        <v>304</v>
      </c>
      <c r="D54" s="326"/>
      <c r="E54" s="326"/>
      <c r="F54" s="326" t="s">
        <v>210</v>
      </c>
    </row>
    <row r="55" spans="1:13">
      <c r="A55" s="330"/>
      <c r="B55" s="318" t="s">
        <v>305</v>
      </c>
      <c r="C55" s="326" t="s">
        <v>305</v>
      </c>
      <c r="D55" s="326"/>
      <c r="E55" s="326"/>
      <c r="F55" s="326" t="s">
        <v>210</v>
      </c>
    </row>
    <row r="56" spans="1:13">
      <c r="A56" s="331"/>
      <c r="B56" s="318" t="s">
        <v>306</v>
      </c>
      <c r="C56" s="326" t="s">
        <v>306</v>
      </c>
      <c r="D56" s="326"/>
      <c r="E56" s="326"/>
      <c r="F56" s="326" t="s">
        <v>210</v>
      </c>
    </row>
    <row r="57" spans="1:13">
      <c r="A57" s="329" t="s">
        <v>281</v>
      </c>
      <c r="B57" s="318" t="s">
        <v>307</v>
      </c>
      <c r="C57" s="326" t="s">
        <v>307</v>
      </c>
      <c r="D57" s="326"/>
      <c r="E57" s="326"/>
      <c r="F57" s="326" t="s">
        <v>210</v>
      </c>
    </row>
    <row r="58" spans="1:13">
      <c r="A58" s="330"/>
      <c r="B58" s="318" t="s">
        <v>308</v>
      </c>
      <c r="C58" s="326" t="s">
        <v>308</v>
      </c>
      <c r="D58" s="326"/>
      <c r="E58" s="326"/>
      <c r="F58" s="326" t="s">
        <v>210</v>
      </c>
    </row>
    <row r="59" spans="1:13">
      <c r="A59" s="330"/>
      <c r="B59" s="318" t="s">
        <v>309</v>
      </c>
      <c r="C59" s="326" t="s">
        <v>309</v>
      </c>
      <c r="D59" s="326"/>
      <c r="E59" s="326"/>
      <c r="F59" s="326" t="s">
        <v>210</v>
      </c>
    </row>
    <row r="60" spans="1:13">
      <c r="A60" s="330"/>
      <c r="B60" s="318" t="s">
        <v>310</v>
      </c>
      <c r="C60" s="326" t="s">
        <v>310</v>
      </c>
      <c r="D60" s="326"/>
      <c r="E60" s="326"/>
      <c r="F60" s="326" t="s">
        <v>210</v>
      </c>
    </row>
    <row r="61" spans="1:13">
      <c r="A61" s="330"/>
      <c r="B61" s="318" t="s">
        <v>311</v>
      </c>
      <c r="C61" s="326" t="s">
        <v>311</v>
      </c>
      <c r="D61" s="326"/>
      <c r="E61" s="326"/>
      <c r="F61" s="326" t="s">
        <v>210</v>
      </c>
    </row>
    <row r="62" spans="1:13">
      <c r="A62" s="330"/>
      <c r="B62" s="318" t="s">
        <v>312</v>
      </c>
      <c r="C62" s="326" t="s">
        <v>312</v>
      </c>
      <c r="D62" s="326"/>
      <c r="E62" s="326"/>
      <c r="F62" s="326" t="s">
        <v>210</v>
      </c>
    </row>
    <row r="63" spans="1:13">
      <c r="A63" s="330"/>
      <c r="B63" s="318" t="s">
        <v>313</v>
      </c>
      <c r="C63" s="326" t="s">
        <v>313</v>
      </c>
      <c r="D63" s="326"/>
      <c r="E63" s="326"/>
      <c r="F63" s="326" t="s">
        <v>210</v>
      </c>
    </row>
    <row r="64" spans="1:13">
      <c r="A64" s="331"/>
      <c r="B64" s="318" t="s">
        <v>314</v>
      </c>
      <c r="C64" s="326" t="s">
        <v>314</v>
      </c>
      <c r="D64" s="326"/>
      <c r="E64" s="326"/>
      <c r="F64" s="326" t="s">
        <v>210</v>
      </c>
    </row>
    <row r="65" spans="1:6">
      <c r="A65" s="329" t="s">
        <v>288</v>
      </c>
      <c r="B65" s="318" t="s">
        <v>315</v>
      </c>
      <c r="C65" s="326" t="s">
        <v>315</v>
      </c>
      <c r="D65" s="326"/>
      <c r="E65" s="326"/>
      <c r="F65" s="326" t="s">
        <v>210</v>
      </c>
    </row>
    <row r="66" spans="1:6">
      <c r="A66" s="330"/>
      <c r="B66" s="318" t="s">
        <v>316</v>
      </c>
      <c r="C66" s="326" t="s">
        <v>317</v>
      </c>
      <c r="D66" s="326" t="s">
        <v>182</v>
      </c>
      <c r="E66" s="326" t="s">
        <v>183</v>
      </c>
      <c r="F66" s="326" t="s">
        <v>210</v>
      </c>
    </row>
    <row r="67" spans="1:6">
      <c r="A67" s="330"/>
      <c r="B67" s="318" t="s">
        <v>318</v>
      </c>
      <c r="C67" s="326" t="s">
        <v>318</v>
      </c>
      <c r="D67" s="326"/>
      <c r="E67" s="326"/>
      <c r="F67" s="326" t="s">
        <v>210</v>
      </c>
    </row>
    <row r="68" spans="1:6">
      <c r="A68" s="330"/>
      <c r="B68" s="318" t="s">
        <v>319</v>
      </c>
      <c r="C68" s="326" t="s">
        <v>319</v>
      </c>
      <c r="D68" s="326"/>
      <c r="E68" s="326"/>
      <c r="F68" s="326" t="s">
        <v>210</v>
      </c>
    </row>
    <row r="69" spans="1:6">
      <c r="A69" s="330"/>
      <c r="B69" s="318" t="s">
        <v>320</v>
      </c>
      <c r="C69" s="326" t="s">
        <v>320</v>
      </c>
      <c r="D69" s="326"/>
      <c r="E69" s="326"/>
      <c r="F69" s="326" t="s">
        <v>210</v>
      </c>
    </row>
    <row r="70" spans="1:6">
      <c r="A70" s="330"/>
      <c r="B70" s="318" t="s">
        <v>321</v>
      </c>
      <c r="C70" s="326" t="s">
        <v>321</v>
      </c>
      <c r="D70" s="326"/>
      <c r="E70" s="326"/>
      <c r="F70" s="326" t="s">
        <v>210</v>
      </c>
    </row>
    <row r="71" spans="1:6">
      <c r="A71" s="330"/>
      <c r="B71" s="318" t="s">
        <v>322</v>
      </c>
      <c r="C71" s="326" t="s">
        <v>322</v>
      </c>
      <c r="D71" s="326"/>
      <c r="E71" s="326"/>
      <c r="F71" s="326" t="s">
        <v>210</v>
      </c>
    </row>
    <row r="72" spans="1:6">
      <c r="A72" s="330"/>
      <c r="B72" s="318" t="s">
        <v>323</v>
      </c>
      <c r="C72" s="326" t="s">
        <v>323</v>
      </c>
      <c r="D72" s="326"/>
      <c r="E72" s="326"/>
      <c r="F72" s="326" t="s">
        <v>210</v>
      </c>
    </row>
    <row r="73" spans="1:6">
      <c r="A73" s="330"/>
      <c r="B73" s="318" t="s">
        <v>324</v>
      </c>
      <c r="C73" s="326" t="s">
        <v>324</v>
      </c>
      <c r="D73" s="326"/>
      <c r="E73" s="326"/>
      <c r="F73" s="326" t="s">
        <v>210</v>
      </c>
    </row>
    <row r="74" spans="1:6">
      <c r="A74" s="331"/>
      <c r="B74" s="318" t="s">
        <v>325</v>
      </c>
      <c r="C74" s="326" t="s">
        <v>325</v>
      </c>
      <c r="D74" s="326"/>
      <c r="E74" s="326"/>
      <c r="F74" s="326" t="s">
        <v>210</v>
      </c>
    </row>
    <row r="75" spans="1:6">
      <c r="A75" s="310" t="s">
        <v>196</v>
      </c>
      <c r="B75" s="325" t="s">
        <v>196</v>
      </c>
      <c r="C75" s="326"/>
      <c r="D75" s="326"/>
      <c r="E75" s="326"/>
      <c r="F75" s="326"/>
    </row>
  </sheetData>
  <mergeCells count="32">
    <mergeCell ref="G48:G51"/>
    <mergeCell ref="A57:A64"/>
    <mergeCell ref="A65:A74"/>
    <mergeCell ref="A27:A30"/>
    <mergeCell ref="G28:G31"/>
    <mergeCell ref="A31:A32"/>
    <mergeCell ref="G32:G35"/>
    <mergeCell ref="A33:A40"/>
    <mergeCell ref="G36:G39"/>
    <mergeCell ref="G40:G43"/>
    <mergeCell ref="A41:A46"/>
    <mergeCell ref="G44:G47"/>
    <mergeCell ref="A47:A56"/>
    <mergeCell ref="A4:A8"/>
    <mergeCell ref="G4:G7"/>
    <mergeCell ref="G8:G11"/>
    <mergeCell ref="A9:A14"/>
    <mergeCell ref="G12:G15"/>
    <mergeCell ref="A15:A22"/>
    <mergeCell ref="G16:G19"/>
    <mergeCell ref="G20:G23"/>
    <mergeCell ref="A23:A26"/>
    <mergeCell ref="G24:G27"/>
    <mergeCell ref="A1:F1"/>
    <mergeCell ref="G1:M1"/>
    <mergeCell ref="N1:O1"/>
    <mergeCell ref="A2:A3"/>
    <mergeCell ref="C2:F2"/>
    <mergeCell ref="G2:G3"/>
    <mergeCell ref="H2:I2"/>
    <mergeCell ref="J2:M2"/>
    <mergeCell ref="O2:Q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869F-553C-48A6-835D-1DFAC145951B}">
  <dimension ref="A1:AM44"/>
  <sheetViews>
    <sheetView topLeftCell="Z1" zoomScaleNormal="100" workbookViewId="0">
      <pane ySplit="3" topLeftCell="A4" activePane="bottomLeft" state="frozen"/>
      <selection pane="bottomLeft" activeCell="Y6" sqref="Y6"/>
    </sheetView>
  </sheetViews>
  <sheetFormatPr defaultRowHeight="16.5"/>
  <cols>
    <col min="1" max="1" width="22.44140625" style="308" bestFit="1" customWidth="1"/>
    <col min="2" max="2" width="19.33203125" style="308" bestFit="1" customWidth="1"/>
    <col min="3" max="3" width="16.33203125" style="308" bestFit="1" customWidth="1"/>
    <col min="4" max="4" width="10.77734375" style="308" bestFit="1" customWidth="1"/>
    <col min="5" max="5" width="12.109375" style="308" customWidth="1"/>
    <col min="6" max="6" width="10.6640625" style="308" customWidth="1"/>
    <col min="7" max="7" width="15.109375" style="308" bestFit="1" customWidth="1"/>
    <col min="8" max="8" width="17.77734375" style="308" bestFit="1" customWidth="1"/>
    <col min="9" max="9" width="18.6640625" style="308" bestFit="1" customWidth="1"/>
    <col min="10" max="10" width="28" style="308" bestFit="1" customWidth="1"/>
    <col min="11" max="11" width="18.109375" style="308" customWidth="1"/>
    <col min="12" max="12" width="10.33203125" style="308" customWidth="1"/>
    <col min="13" max="13" width="32.33203125" style="308" bestFit="1" customWidth="1"/>
    <col min="14" max="14" width="11.88671875" style="308" bestFit="1" customWidth="1"/>
    <col min="15" max="15" width="40.33203125" style="308" bestFit="1" customWidth="1"/>
    <col min="16" max="16" width="9" style="308" bestFit="1" customWidth="1"/>
    <col min="17" max="17" width="22.77734375" style="308" bestFit="1" customWidth="1"/>
    <col min="18" max="18" width="10.44140625" style="308" customWidth="1"/>
    <col min="19" max="19" width="12.33203125" style="308" bestFit="1" customWidth="1"/>
    <col min="20" max="20" width="13.44140625" style="308" customWidth="1"/>
    <col min="21" max="21" width="9" style="308" customWidth="1"/>
    <col min="22" max="22" width="10.33203125" style="308" bestFit="1" customWidth="1"/>
    <col min="23" max="23" width="10.5546875" style="308" bestFit="1" customWidth="1"/>
    <col min="24" max="24" width="13.21875" style="308" customWidth="1"/>
    <col min="25" max="25" width="18.5546875" style="308" bestFit="1" customWidth="1"/>
    <col min="26" max="26" width="21.5546875" style="308" bestFit="1" customWidth="1"/>
    <col min="27" max="27" width="13.21875" style="308" customWidth="1"/>
    <col min="28" max="28" width="19.77734375" style="308" bestFit="1" customWidth="1"/>
    <col min="29" max="29" width="21.5546875" style="308" bestFit="1" customWidth="1"/>
    <col min="30" max="30" width="9.88671875" style="308" bestFit="1" customWidth="1"/>
    <col min="31" max="31" width="17.33203125" style="308" bestFit="1" customWidth="1"/>
    <col min="32" max="32" width="15.33203125" style="308" customWidth="1"/>
    <col min="33" max="33" width="17.44140625" style="308" bestFit="1" customWidth="1"/>
    <col min="34" max="34" width="14.109375" style="308" customWidth="1"/>
    <col min="35" max="16384" width="8.88671875" style="308"/>
  </cols>
  <sheetData>
    <row r="1" spans="1:39" ht="38.1" customHeight="1">
      <c r="A1" s="305" t="s">
        <v>326</v>
      </c>
      <c r="B1" s="305"/>
      <c r="C1" s="305"/>
      <c r="D1" s="305"/>
      <c r="E1" s="305"/>
      <c r="F1" s="305"/>
      <c r="G1" s="305"/>
      <c r="H1" s="305"/>
      <c r="I1" s="305" t="s">
        <v>327</v>
      </c>
      <c r="J1" s="305"/>
      <c r="K1" s="305"/>
      <c r="L1" s="305"/>
      <c r="M1" s="305" t="s">
        <v>328</v>
      </c>
      <c r="N1" s="305"/>
      <c r="O1" s="305"/>
      <c r="P1" s="305"/>
      <c r="Q1" s="305"/>
      <c r="R1" s="305"/>
      <c r="S1" s="305" t="s">
        <v>329</v>
      </c>
      <c r="T1" s="305"/>
      <c r="U1" s="305"/>
      <c r="V1" s="305"/>
      <c r="W1" s="305"/>
      <c r="X1" s="305"/>
      <c r="Y1" s="305" t="s">
        <v>330</v>
      </c>
      <c r="Z1" s="305"/>
      <c r="AA1" s="305"/>
      <c r="AB1" s="305" t="s">
        <v>331</v>
      </c>
      <c r="AC1" s="305"/>
      <c r="AD1" s="305"/>
      <c r="AE1" s="305" t="s">
        <v>332</v>
      </c>
      <c r="AF1" s="305"/>
      <c r="AG1" s="305" t="s">
        <v>333</v>
      </c>
      <c r="AH1" s="305"/>
      <c r="AI1" s="335"/>
      <c r="AJ1" s="335"/>
      <c r="AK1" s="335"/>
      <c r="AL1" s="335"/>
    </row>
    <row r="2" spans="1:39">
      <c r="A2" s="310" t="s">
        <v>156</v>
      </c>
      <c r="B2" s="314" t="s">
        <v>334</v>
      </c>
      <c r="C2" s="314"/>
      <c r="D2" s="314"/>
      <c r="E2" s="314"/>
      <c r="F2" s="314"/>
      <c r="G2" s="314" t="s">
        <v>335</v>
      </c>
      <c r="H2" s="314"/>
      <c r="I2" s="310" t="s">
        <v>156</v>
      </c>
      <c r="J2" s="314" t="s">
        <v>157</v>
      </c>
      <c r="K2" s="314"/>
      <c r="L2" s="314"/>
      <c r="M2" s="310" t="s">
        <v>156</v>
      </c>
      <c r="N2" s="314" t="s">
        <v>157</v>
      </c>
      <c r="O2" s="314"/>
      <c r="P2" s="314"/>
      <c r="Q2" s="314"/>
      <c r="R2" s="314"/>
      <c r="S2" s="310" t="s">
        <v>156</v>
      </c>
      <c r="T2" s="314" t="s">
        <v>157</v>
      </c>
      <c r="U2" s="314"/>
      <c r="V2" s="314"/>
      <c r="W2" s="314"/>
      <c r="X2" s="314"/>
      <c r="Y2" s="310" t="s">
        <v>156</v>
      </c>
      <c r="Z2" s="314" t="s">
        <v>157</v>
      </c>
      <c r="AA2" s="314"/>
      <c r="AB2" s="310" t="s">
        <v>156</v>
      </c>
      <c r="AC2" s="314" t="s">
        <v>157</v>
      </c>
      <c r="AD2" s="314"/>
      <c r="AE2" s="310" t="s">
        <v>156</v>
      </c>
      <c r="AF2" s="310" t="s">
        <v>157</v>
      </c>
      <c r="AG2" s="310" t="s">
        <v>156</v>
      </c>
      <c r="AH2" s="310" t="s">
        <v>157</v>
      </c>
      <c r="AI2" s="335"/>
      <c r="AJ2" s="335"/>
      <c r="AK2" s="335"/>
      <c r="AL2" s="335"/>
      <c r="AM2" s="335"/>
    </row>
    <row r="3" spans="1:39">
      <c r="A3" s="336" t="s">
        <v>336</v>
      </c>
      <c r="B3" s="315" t="s">
        <v>337</v>
      </c>
      <c r="C3" s="315" t="s">
        <v>338</v>
      </c>
      <c r="D3" s="315" t="s">
        <v>339</v>
      </c>
      <c r="E3" s="315" t="s">
        <v>159</v>
      </c>
      <c r="F3" s="315" t="s">
        <v>340</v>
      </c>
      <c r="G3" s="315" t="s">
        <v>341</v>
      </c>
      <c r="H3" s="315" t="s">
        <v>338</v>
      </c>
      <c r="I3" s="336" t="s">
        <v>79</v>
      </c>
      <c r="J3" s="315" t="s">
        <v>342</v>
      </c>
      <c r="K3" s="315" t="s">
        <v>159</v>
      </c>
      <c r="L3" s="315" t="s">
        <v>340</v>
      </c>
      <c r="M3" s="336" t="s">
        <v>111</v>
      </c>
      <c r="N3" s="315" t="s">
        <v>343</v>
      </c>
      <c r="O3" s="315" t="s">
        <v>338</v>
      </c>
      <c r="P3" s="315" t="s">
        <v>339</v>
      </c>
      <c r="Q3" s="315" t="s">
        <v>159</v>
      </c>
      <c r="R3" s="315" t="s">
        <v>340</v>
      </c>
      <c r="S3" s="336" t="s">
        <v>344</v>
      </c>
      <c r="T3" s="315" t="s">
        <v>345</v>
      </c>
      <c r="U3" s="315" t="s">
        <v>338</v>
      </c>
      <c r="V3" s="315" t="s">
        <v>339</v>
      </c>
      <c r="W3" s="315" t="s">
        <v>159</v>
      </c>
      <c r="X3" s="315" t="s">
        <v>340</v>
      </c>
      <c r="Y3" s="336" t="s">
        <v>346</v>
      </c>
      <c r="Z3" s="315" t="s">
        <v>347</v>
      </c>
      <c r="AA3" s="315" t="s">
        <v>348</v>
      </c>
      <c r="AB3" s="315" t="s">
        <v>349</v>
      </c>
      <c r="AC3" s="315" t="s">
        <v>347</v>
      </c>
      <c r="AD3" s="315" t="s">
        <v>348</v>
      </c>
      <c r="AE3" s="315" t="s">
        <v>350</v>
      </c>
      <c r="AF3" s="315" t="s">
        <v>348</v>
      </c>
      <c r="AG3" s="315" t="s">
        <v>68</v>
      </c>
      <c r="AH3" s="315" t="s">
        <v>348</v>
      </c>
      <c r="AI3" s="335"/>
      <c r="AJ3" s="335"/>
      <c r="AK3" s="335"/>
      <c r="AL3" s="335"/>
      <c r="AM3" s="335"/>
    </row>
    <row r="4" spans="1:39" ht="16.5" customHeight="1">
      <c r="A4" s="337" t="s">
        <v>351</v>
      </c>
      <c r="B4" s="326" t="s">
        <v>352</v>
      </c>
      <c r="C4" s="338" t="s">
        <v>353</v>
      </c>
      <c r="D4" s="338" t="s">
        <v>354</v>
      </c>
      <c r="E4" s="338" t="s">
        <v>355</v>
      </c>
      <c r="F4" s="319" t="s">
        <v>356</v>
      </c>
      <c r="G4" s="319" t="s">
        <v>180</v>
      </c>
      <c r="H4" s="319" t="s">
        <v>180</v>
      </c>
      <c r="I4" s="337" t="s">
        <v>357</v>
      </c>
      <c r="J4" s="339">
        <v>4</v>
      </c>
      <c r="K4" s="340" t="s">
        <v>358</v>
      </c>
      <c r="L4" s="319" t="s">
        <v>359</v>
      </c>
      <c r="M4" s="337" t="s">
        <v>360</v>
      </c>
      <c r="N4" s="340" t="s">
        <v>361</v>
      </c>
      <c r="O4" s="340" t="s">
        <v>362</v>
      </c>
      <c r="P4" s="340" t="s">
        <v>363</v>
      </c>
      <c r="Q4" s="340" t="s">
        <v>364</v>
      </c>
      <c r="R4" s="319" t="s">
        <v>365</v>
      </c>
      <c r="S4" s="337" t="s">
        <v>366</v>
      </c>
      <c r="T4" s="340" t="s">
        <v>367</v>
      </c>
      <c r="U4" s="340" t="s">
        <v>368</v>
      </c>
      <c r="V4" s="340" t="s">
        <v>369</v>
      </c>
      <c r="W4" s="341" t="s">
        <v>366</v>
      </c>
      <c r="X4" s="319" t="s">
        <v>370</v>
      </c>
      <c r="Y4" s="337" t="s">
        <v>371</v>
      </c>
      <c r="Z4" s="338" t="s">
        <v>180</v>
      </c>
      <c r="AA4" s="338" t="s">
        <v>372</v>
      </c>
      <c r="AB4" s="337" t="s">
        <v>373</v>
      </c>
      <c r="AC4" s="319">
        <v>1.4</v>
      </c>
      <c r="AD4" s="326" t="s">
        <v>374</v>
      </c>
      <c r="AE4" s="337" t="s">
        <v>375</v>
      </c>
      <c r="AF4" s="338" t="s">
        <v>375</v>
      </c>
      <c r="AG4" s="337" t="s">
        <v>376</v>
      </c>
      <c r="AH4" s="340" t="s">
        <v>377</v>
      </c>
      <c r="AI4" s="335"/>
      <c r="AJ4" s="335"/>
      <c r="AK4" s="335"/>
      <c r="AL4" s="335"/>
      <c r="AM4" s="335"/>
    </row>
    <row r="5" spans="1:39">
      <c r="A5" s="337" t="s">
        <v>378</v>
      </c>
      <c r="B5" s="326" t="s">
        <v>379</v>
      </c>
      <c r="C5" s="338" t="s">
        <v>380</v>
      </c>
      <c r="D5" s="338" t="s">
        <v>354</v>
      </c>
      <c r="E5" s="338" t="s">
        <v>381</v>
      </c>
      <c r="F5" s="319" t="s">
        <v>356</v>
      </c>
      <c r="G5" s="319" t="s">
        <v>180</v>
      </c>
      <c r="H5" s="319" t="s">
        <v>180</v>
      </c>
      <c r="I5" s="337" t="s">
        <v>382</v>
      </c>
      <c r="J5" s="319">
        <v>3.6</v>
      </c>
      <c r="K5" s="340" t="s">
        <v>358</v>
      </c>
      <c r="L5" s="319" t="s">
        <v>383</v>
      </c>
      <c r="M5" s="337" t="s">
        <v>384</v>
      </c>
      <c r="N5" s="340" t="s">
        <v>361</v>
      </c>
      <c r="O5" s="340" t="s">
        <v>385</v>
      </c>
      <c r="P5" s="340" t="s">
        <v>363</v>
      </c>
      <c r="Q5" s="340" t="s">
        <v>386</v>
      </c>
      <c r="R5" s="319" t="s">
        <v>365</v>
      </c>
      <c r="S5" s="337" t="s">
        <v>387</v>
      </c>
      <c r="T5" s="340" t="s">
        <v>388</v>
      </c>
      <c r="U5" s="340" t="s">
        <v>389</v>
      </c>
      <c r="V5" s="340" t="s">
        <v>363</v>
      </c>
      <c r="W5" s="341" t="s">
        <v>387</v>
      </c>
      <c r="X5" s="319" t="s">
        <v>370</v>
      </c>
      <c r="Y5" s="337" t="s">
        <v>390</v>
      </c>
      <c r="Z5" s="342"/>
      <c r="AA5" s="338" t="s">
        <v>391</v>
      </c>
      <c r="AB5" s="343"/>
      <c r="AC5" s="343"/>
      <c r="AD5" s="343"/>
      <c r="AE5" s="337" t="s">
        <v>392</v>
      </c>
      <c r="AF5" s="338" t="s">
        <v>392</v>
      </c>
      <c r="AG5" s="337" t="s">
        <v>393</v>
      </c>
      <c r="AH5" s="340" t="s">
        <v>377</v>
      </c>
      <c r="AI5" s="335"/>
      <c r="AJ5" s="335"/>
      <c r="AK5" s="335"/>
      <c r="AL5" s="335"/>
      <c r="AM5" s="335"/>
    </row>
    <row r="6" spans="1:39">
      <c r="A6" s="337" t="s">
        <v>394</v>
      </c>
      <c r="B6" s="326" t="s">
        <v>352</v>
      </c>
      <c r="C6" s="338" t="s">
        <v>395</v>
      </c>
      <c r="D6" s="338" t="s">
        <v>363</v>
      </c>
      <c r="E6" s="338" t="s">
        <v>396</v>
      </c>
      <c r="F6" s="319" t="s">
        <v>359</v>
      </c>
      <c r="G6" s="319" t="s">
        <v>180</v>
      </c>
      <c r="H6" s="319" t="s">
        <v>180</v>
      </c>
      <c r="I6" s="337" t="s">
        <v>397</v>
      </c>
      <c r="J6" s="319"/>
      <c r="K6" s="340" t="s">
        <v>398</v>
      </c>
      <c r="L6" s="319" t="s">
        <v>383</v>
      </c>
      <c r="M6" s="337" t="s">
        <v>399</v>
      </c>
      <c r="N6" s="340" t="s">
        <v>400</v>
      </c>
      <c r="O6" s="340" t="s">
        <v>362</v>
      </c>
      <c r="P6" s="340" t="s">
        <v>401</v>
      </c>
      <c r="Q6" s="340" t="s">
        <v>364</v>
      </c>
      <c r="R6" s="319" t="s">
        <v>402</v>
      </c>
      <c r="S6" s="337" t="s">
        <v>403</v>
      </c>
      <c r="T6" s="340" t="s">
        <v>367</v>
      </c>
      <c r="U6" s="340" t="s">
        <v>404</v>
      </c>
      <c r="V6" s="340" t="s">
        <v>369</v>
      </c>
      <c r="W6" s="341" t="s">
        <v>405</v>
      </c>
      <c r="X6" s="319" t="s">
        <v>370</v>
      </c>
      <c r="Y6" s="337" t="s">
        <v>406</v>
      </c>
      <c r="Z6" s="344">
        <v>2</v>
      </c>
      <c r="AA6" s="338" t="s">
        <v>391</v>
      </c>
      <c r="AB6" s="343"/>
      <c r="AC6" s="343"/>
      <c r="AD6" s="343"/>
      <c r="AE6" s="337" t="s">
        <v>407</v>
      </c>
      <c r="AF6" s="338" t="s">
        <v>408</v>
      </c>
      <c r="AG6" s="337" t="s">
        <v>409</v>
      </c>
      <c r="AH6" s="340" t="s">
        <v>409</v>
      </c>
      <c r="AI6" s="335"/>
      <c r="AJ6" s="335"/>
      <c r="AK6" s="335"/>
      <c r="AL6" s="335"/>
      <c r="AM6" s="335"/>
    </row>
    <row r="7" spans="1:39">
      <c r="A7" s="337" t="s">
        <v>410</v>
      </c>
      <c r="B7" s="326"/>
      <c r="C7" s="338" t="s">
        <v>395</v>
      </c>
      <c r="D7" s="338" t="s">
        <v>411</v>
      </c>
      <c r="E7" s="338" t="s">
        <v>412</v>
      </c>
      <c r="F7" s="319" t="s">
        <v>359</v>
      </c>
      <c r="G7" s="319"/>
      <c r="H7" s="319"/>
      <c r="I7" s="337" t="s">
        <v>413</v>
      </c>
      <c r="J7" s="319"/>
      <c r="K7" s="338" t="s">
        <v>414</v>
      </c>
      <c r="L7" s="319"/>
      <c r="M7" s="337" t="s">
        <v>415</v>
      </c>
      <c r="N7" s="340" t="s">
        <v>361</v>
      </c>
      <c r="O7" s="340" t="s">
        <v>416</v>
      </c>
      <c r="P7" s="340" t="s">
        <v>369</v>
      </c>
      <c r="Q7" s="340" t="s">
        <v>417</v>
      </c>
      <c r="R7" s="319" t="s">
        <v>365</v>
      </c>
      <c r="S7" s="337" t="s">
        <v>418</v>
      </c>
      <c r="T7" s="342"/>
      <c r="U7" s="342"/>
      <c r="V7" s="342"/>
      <c r="W7" s="338" t="s">
        <v>419</v>
      </c>
      <c r="X7" s="319" t="s">
        <v>370</v>
      </c>
      <c r="Y7" s="343"/>
      <c r="Z7" s="345"/>
      <c r="AB7" s="343"/>
      <c r="AC7" s="343"/>
      <c r="AD7" s="343"/>
      <c r="AE7" s="337" t="s">
        <v>420</v>
      </c>
      <c r="AF7" s="338" t="s">
        <v>385</v>
      </c>
      <c r="AG7" s="335"/>
      <c r="AH7" s="335"/>
      <c r="AI7" s="335"/>
      <c r="AJ7" s="335"/>
      <c r="AK7" s="335"/>
      <c r="AL7" s="335"/>
      <c r="AM7" s="335"/>
    </row>
    <row r="8" spans="1:39">
      <c r="A8" s="337" t="s">
        <v>421</v>
      </c>
      <c r="B8" s="326" t="s">
        <v>379</v>
      </c>
      <c r="C8" s="338" t="s">
        <v>422</v>
      </c>
      <c r="D8" s="338" t="s">
        <v>423</v>
      </c>
      <c r="E8" s="338" t="s">
        <v>424</v>
      </c>
      <c r="F8" s="319" t="s">
        <v>425</v>
      </c>
      <c r="G8" s="319" t="s">
        <v>180</v>
      </c>
      <c r="H8" s="319" t="s">
        <v>180</v>
      </c>
      <c r="I8" s="337" t="s">
        <v>426</v>
      </c>
      <c r="J8" s="319"/>
      <c r="K8" s="338" t="s">
        <v>427</v>
      </c>
      <c r="L8" s="326"/>
      <c r="M8" s="337" t="s">
        <v>428</v>
      </c>
      <c r="N8" s="340" t="s">
        <v>400</v>
      </c>
      <c r="O8" s="340" t="s">
        <v>429</v>
      </c>
      <c r="P8" s="340" t="s">
        <v>430</v>
      </c>
      <c r="Q8" s="340" t="s">
        <v>431</v>
      </c>
      <c r="R8" s="319" t="s">
        <v>432</v>
      </c>
      <c r="S8" s="337" t="s">
        <v>433</v>
      </c>
      <c r="T8" s="340" t="s">
        <v>388</v>
      </c>
      <c r="U8" s="340" t="s">
        <v>389</v>
      </c>
      <c r="V8" s="340" t="s">
        <v>434</v>
      </c>
      <c r="W8" s="341" t="s">
        <v>433</v>
      </c>
      <c r="X8" s="319" t="s">
        <v>370</v>
      </c>
      <c r="Y8" s="335"/>
      <c r="Z8" s="335"/>
      <c r="AA8" s="335"/>
      <c r="AB8" s="343"/>
      <c r="AC8" s="343"/>
      <c r="AD8" s="343"/>
      <c r="AE8" s="337" t="s">
        <v>435</v>
      </c>
      <c r="AF8" s="338" t="s">
        <v>435</v>
      </c>
      <c r="AG8" s="335"/>
      <c r="AH8" s="335"/>
      <c r="AI8" s="335"/>
      <c r="AJ8" s="335"/>
      <c r="AK8" s="335"/>
      <c r="AL8" s="335"/>
      <c r="AM8" s="335"/>
    </row>
    <row r="9" spans="1:39">
      <c r="A9" s="337" t="s">
        <v>436</v>
      </c>
      <c r="B9" s="326" t="s">
        <v>379</v>
      </c>
      <c r="C9" s="338" t="s">
        <v>353</v>
      </c>
      <c r="D9" s="338" t="s">
        <v>437</v>
      </c>
      <c r="E9" s="338" t="s">
        <v>438</v>
      </c>
      <c r="F9" s="326" t="s">
        <v>383</v>
      </c>
      <c r="G9" s="326" t="s">
        <v>379</v>
      </c>
      <c r="H9" s="326" t="s">
        <v>439</v>
      </c>
      <c r="I9" s="337" t="s">
        <v>440</v>
      </c>
      <c r="J9" s="339">
        <v>5</v>
      </c>
      <c r="K9" s="340" t="s">
        <v>441</v>
      </c>
      <c r="L9" s="326" t="s">
        <v>442</v>
      </c>
      <c r="M9" s="337" t="s">
        <v>443</v>
      </c>
      <c r="N9" s="340" t="s">
        <v>444</v>
      </c>
      <c r="O9" s="340" t="s">
        <v>429</v>
      </c>
      <c r="P9" s="340" t="s">
        <v>430</v>
      </c>
      <c r="Q9" s="340" t="s">
        <v>431</v>
      </c>
      <c r="R9" s="319" t="s">
        <v>445</v>
      </c>
      <c r="S9" s="337" t="s">
        <v>446</v>
      </c>
      <c r="T9" s="340" t="s">
        <v>388</v>
      </c>
      <c r="U9" s="340" t="s">
        <v>447</v>
      </c>
      <c r="V9" s="340" t="s">
        <v>363</v>
      </c>
      <c r="W9" s="341" t="s">
        <v>448</v>
      </c>
      <c r="X9" s="326" t="s">
        <v>449</v>
      </c>
      <c r="Y9" s="335"/>
      <c r="Z9" s="335"/>
      <c r="AA9" s="335"/>
      <c r="AB9" s="343"/>
      <c r="AC9" s="343"/>
      <c r="AD9" s="343"/>
      <c r="AE9" s="335"/>
      <c r="AF9" s="335"/>
      <c r="AG9" s="335"/>
      <c r="AH9" s="335"/>
      <c r="AI9" s="335"/>
      <c r="AJ9" s="335"/>
      <c r="AK9" s="335"/>
      <c r="AL9" s="335"/>
      <c r="AM9" s="335"/>
    </row>
    <row r="10" spans="1:39">
      <c r="A10" s="337" t="s">
        <v>450</v>
      </c>
      <c r="B10" s="326" t="s">
        <v>379</v>
      </c>
      <c r="C10" s="338" t="s">
        <v>451</v>
      </c>
      <c r="D10" s="338" t="s">
        <v>363</v>
      </c>
      <c r="E10" s="338" t="s">
        <v>438</v>
      </c>
      <c r="F10" s="326" t="s">
        <v>383</v>
      </c>
      <c r="G10" s="326" t="s">
        <v>379</v>
      </c>
      <c r="H10" s="326" t="s">
        <v>439</v>
      </c>
      <c r="I10" s="337" t="s">
        <v>452</v>
      </c>
      <c r="J10" s="319">
        <v>3.6</v>
      </c>
      <c r="K10" s="340" t="s">
        <v>453</v>
      </c>
      <c r="L10" s="326" t="s">
        <v>454</v>
      </c>
      <c r="M10" s="337" t="s">
        <v>455</v>
      </c>
      <c r="N10" s="338" t="s">
        <v>456</v>
      </c>
      <c r="O10" s="338" t="s">
        <v>457</v>
      </c>
      <c r="P10" s="338" t="s">
        <v>434</v>
      </c>
      <c r="Q10" s="340" t="s">
        <v>458</v>
      </c>
      <c r="R10" s="326" t="s">
        <v>432</v>
      </c>
      <c r="S10" s="337" t="s">
        <v>459</v>
      </c>
      <c r="T10" s="342" t="s">
        <v>388</v>
      </c>
      <c r="U10" s="340" t="s">
        <v>460</v>
      </c>
      <c r="V10" s="340" t="s">
        <v>434</v>
      </c>
      <c r="W10" s="341" t="s">
        <v>459</v>
      </c>
      <c r="X10" s="326" t="s">
        <v>461</v>
      </c>
      <c r="Y10" s="335"/>
      <c r="Z10" s="335"/>
      <c r="AA10" s="335"/>
      <c r="AB10" s="343"/>
      <c r="AC10" s="335"/>
      <c r="AD10" s="343"/>
      <c r="AG10" s="335"/>
      <c r="AH10" s="335"/>
      <c r="AI10" s="335"/>
      <c r="AJ10" s="335"/>
      <c r="AK10" s="335"/>
      <c r="AL10" s="335"/>
      <c r="AM10" s="335"/>
    </row>
    <row r="11" spans="1:39">
      <c r="A11" s="337" t="s">
        <v>462</v>
      </c>
      <c r="B11" s="326" t="s">
        <v>379</v>
      </c>
      <c r="C11" s="338" t="s">
        <v>451</v>
      </c>
      <c r="D11" s="338" t="s">
        <v>363</v>
      </c>
      <c r="E11" s="338" t="s">
        <v>463</v>
      </c>
      <c r="F11" s="326" t="s">
        <v>383</v>
      </c>
      <c r="G11" s="326" t="s">
        <v>379</v>
      </c>
      <c r="H11" s="326" t="s">
        <v>439</v>
      </c>
      <c r="I11" s="337" t="s">
        <v>464</v>
      </c>
      <c r="J11" s="319">
        <v>3.6</v>
      </c>
      <c r="K11" s="340" t="s">
        <v>465</v>
      </c>
      <c r="L11" s="326" t="s">
        <v>466</v>
      </c>
      <c r="M11" s="337" t="s">
        <v>467</v>
      </c>
      <c r="N11" s="338"/>
      <c r="O11" s="338"/>
      <c r="P11" s="338"/>
      <c r="Q11" s="338"/>
      <c r="R11" s="326"/>
      <c r="S11" s="337" t="s">
        <v>468</v>
      </c>
      <c r="T11" s="340" t="s">
        <v>469</v>
      </c>
      <c r="U11" s="340" t="s">
        <v>368</v>
      </c>
      <c r="V11" s="340" t="s">
        <v>369</v>
      </c>
      <c r="W11" s="341" t="s">
        <v>468</v>
      </c>
      <c r="X11" s="326" t="s">
        <v>449</v>
      </c>
      <c r="Y11" s="335"/>
      <c r="Z11" s="335"/>
      <c r="AA11" s="335"/>
      <c r="AB11" s="343"/>
      <c r="AC11" s="343"/>
      <c r="AD11" s="343"/>
      <c r="AG11" s="335"/>
      <c r="AH11" s="335"/>
      <c r="AI11" s="335"/>
      <c r="AJ11" s="335"/>
      <c r="AK11" s="335"/>
      <c r="AL11" s="335"/>
      <c r="AM11" s="335"/>
    </row>
    <row r="12" spans="1:39">
      <c r="A12" s="337" t="s">
        <v>470</v>
      </c>
      <c r="B12" s="326" t="s">
        <v>352</v>
      </c>
      <c r="C12" s="340" t="s">
        <v>471</v>
      </c>
      <c r="D12" s="340" t="s">
        <v>472</v>
      </c>
      <c r="E12" s="340" t="s">
        <v>473</v>
      </c>
      <c r="F12" s="326" t="s">
        <v>474</v>
      </c>
      <c r="G12" s="326" t="s">
        <v>180</v>
      </c>
      <c r="H12" s="326" t="s">
        <v>180</v>
      </c>
      <c r="I12" s="337" t="s">
        <v>475</v>
      </c>
      <c r="J12" s="319"/>
      <c r="K12" s="340" t="s">
        <v>476</v>
      </c>
      <c r="L12" s="326"/>
      <c r="M12" s="337" t="s">
        <v>477</v>
      </c>
      <c r="N12" s="338"/>
      <c r="O12" s="338"/>
      <c r="P12" s="338"/>
      <c r="Q12" s="338"/>
      <c r="R12" s="326"/>
      <c r="S12" s="337" t="s">
        <v>478</v>
      </c>
      <c r="T12" s="340" t="s">
        <v>367</v>
      </c>
      <c r="U12" s="340" t="s">
        <v>368</v>
      </c>
      <c r="V12" s="340" t="s">
        <v>369</v>
      </c>
      <c r="W12" s="341" t="s">
        <v>479</v>
      </c>
      <c r="X12" s="326" t="s">
        <v>442</v>
      </c>
      <c r="Y12" s="335"/>
      <c r="Z12" s="335"/>
      <c r="AA12" s="335"/>
      <c r="AB12" s="343"/>
      <c r="AC12" s="343"/>
      <c r="AD12" s="343"/>
      <c r="AG12" s="335"/>
      <c r="AH12" s="335"/>
      <c r="AI12" s="335"/>
      <c r="AJ12" s="335"/>
      <c r="AK12" s="335"/>
      <c r="AL12" s="335"/>
      <c r="AM12" s="335"/>
    </row>
    <row r="13" spans="1:39">
      <c r="A13" s="337" t="s">
        <v>480</v>
      </c>
      <c r="B13" s="326" t="s">
        <v>379</v>
      </c>
      <c r="C13" s="340" t="s">
        <v>471</v>
      </c>
      <c r="D13" s="340" t="s">
        <v>481</v>
      </c>
      <c r="E13" s="340" t="s">
        <v>482</v>
      </c>
      <c r="F13" s="326" t="s">
        <v>442</v>
      </c>
      <c r="G13" s="326" t="s">
        <v>180</v>
      </c>
      <c r="H13" s="326" t="s">
        <v>180</v>
      </c>
      <c r="I13" s="337" t="s">
        <v>483</v>
      </c>
      <c r="J13" s="319"/>
      <c r="K13" s="338" t="s">
        <v>484</v>
      </c>
      <c r="L13" s="326"/>
      <c r="M13" s="337" t="s">
        <v>485</v>
      </c>
      <c r="N13" s="338"/>
      <c r="O13" s="338"/>
      <c r="P13" s="338"/>
      <c r="Q13" s="338"/>
      <c r="R13" s="326"/>
      <c r="S13" s="337" t="s">
        <v>486</v>
      </c>
      <c r="T13" s="340" t="s">
        <v>388</v>
      </c>
      <c r="U13" s="340" t="s">
        <v>460</v>
      </c>
      <c r="V13" s="340" t="s">
        <v>487</v>
      </c>
      <c r="W13" s="341" t="s">
        <v>488</v>
      </c>
      <c r="X13" s="326" t="s">
        <v>442</v>
      </c>
      <c r="Y13" s="335"/>
      <c r="Z13" s="335"/>
      <c r="AA13" s="335"/>
      <c r="AB13" s="335"/>
      <c r="AC13" s="335"/>
      <c r="AD13" s="335"/>
      <c r="AG13" s="335"/>
      <c r="AH13" s="335"/>
      <c r="AI13" s="335"/>
      <c r="AJ13" s="335"/>
      <c r="AK13" s="335"/>
      <c r="AL13" s="335"/>
      <c r="AM13" s="335"/>
    </row>
    <row r="14" spans="1:39">
      <c r="A14" s="337" t="s">
        <v>489</v>
      </c>
      <c r="B14" s="326"/>
      <c r="C14" s="340" t="s">
        <v>395</v>
      </c>
      <c r="D14" s="340" t="s">
        <v>363</v>
      </c>
      <c r="E14" s="340" t="s">
        <v>490</v>
      </c>
      <c r="F14" s="326" t="s">
        <v>442</v>
      </c>
      <c r="G14" s="326"/>
      <c r="H14" s="326"/>
      <c r="M14" s="337" t="s">
        <v>491</v>
      </c>
      <c r="N14" s="338"/>
      <c r="O14" s="338"/>
      <c r="P14" s="338"/>
      <c r="Q14" s="338"/>
      <c r="R14" s="326"/>
      <c r="S14" s="335"/>
      <c r="T14" s="335"/>
      <c r="U14" s="335"/>
      <c r="V14" s="335"/>
      <c r="W14" s="335"/>
      <c r="X14" s="335"/>
      <c r="Y14" s="335"/>
      <c r="Z14" s="335"/>
      <c r="AA14" s="335"/>
      <c r="AB14" s="335"/>
      <c r="AC14" s="335"/>
      <c r="AD14" s="335"/>
      <c r="AG14" s="335"/>
      <c r="AH14" s="335"/>
      <c r="AI14" s="335"/>
      <c r="AJ14" s="335"/>
      <c r="AK14" s="335"/>
      <c r="AL14" s="335"/>
      <c r="AM14" s="335"/>
    </row>
    <row r="15" spans="1:39">
      <c r="A15" s="337" t="s">
        <v>492</v>
      </c>
      <c r="B15" s="326" t="s">
        <v>379</v>
      </c>
      <c r="C15" s="338" t="s">
        <v>422</v>
      </c>
      <c r="D15" s="338" t="s">
        <v>423</v>
      </c>
      <c r="E15" s="338" t="s">
        <v>493</v>
      </c>
      <c r="F15" s="326" t="s">
        <v>442</v>
      </c>
      <c r="G15" s="326" t="s">
        <v>180</v>
      </c>
      <c r="H15" s="326" t="s">
        <v>180</v>
      </c>
      <c r="M15" s="337" t="s">
        <v>494</v>
      </c>
      <c r="N15" s="338"/>
      <c r="O15" s="338"/>
      <c r="P15" s="338"/>
      <c r="Q15" s="338"/>
      <c r="R15" s="326"/>
      <c r="S15" s="335"/>
      <c r="T15" s="335"/>
      <c r="U15" s="335"/>
      <c r="V15" s="335"/>
      <c r="W15" s="335"/>
      <c r="X15" s="335"/>
      <c r="Y15" s="335"/>
      <c r="Z15" s="335"/>
      <c r="AA15" s="335"/>
      <c r="AB15" s="335"/>
      <c r="AC15" s="335"/>
      <c r="AD15" s="335"/>
      <c r="AG15" s="335"/>
      <c r="AH15" s="335"/>
      <c r="AI15" s="335"/>
      <c r="AJ15" s="335"/>
      <c r="AK15" s="335"/>
      <c r="AL15" s="335"/>
      <c r="AM15" s="335"/>
    </row>
    <row r="16" spans="1:39">
      <c r="A16" s="337" t="s">
        <v>495</v>
      </c>
      <c r="B16" s="326" t="s">
        <v>379</v>
      </c>
      <c r="C16" s="340" t="s">
        <v>471</v>
      </c>
      <c r="D16" s="338" t="s">
        <v>437</v>
      </c>
      <c r="E16" s="338" t="s">
        <v>496</v>
      </c>
      <c r="F16" s="326" t="s">
        <v>442</v>
      </c>
      <c r="G16" s="326" t="s">
        <v>379</v>
      </c>
      <c r="H16" s="326" t="s">
        <v>439</v>
      </c>
      <c r="I16" s="335"/>
      <c r="J16" s="335"/>
      <c r="K16" s="335"/>
      <c r="L16" s="335"/>
      <c r="M16" s="337" t="s">
        <v>497</v>
      </c>
      <c r="N16" s="340" t="s">
        <v>498</v>
      </c>
      <c r="O16" s="340" t="s">
        <v>499</v>
      </c>
      <c r="P16" s="340" t="s">
        <v>369</v>
      </c>
      <c r="Q16" s="340" t="s">
        <v>497</v>
      </c>
      <c r="R16" s="326" t="s">
        <v>500</v>
      </c>
      <c r="S16" s="335"/>
      <c r="T16" s="335"/>
      <c r="U16" s="335"/>
      <c r="V16" s="335"/>
      <c r="W16" s="335"/>
      <c r="X16" s="335"/>
      <c r="Y16" s="335"/>
      <c r="Z16" s="335"/>
      <c r="AA16" s="335"/>
      <c r="AB16" s="335"/>
      <c r="AC16" s="335"/>
      <c r="AD16" s="335"/>
      <c r="AE16" s="335"/>
      <c r="AF16" s="335"/>
      <c r="AG16" s="335"/>
      <c r="AH16" s="335"/>
      <c r="AI16" s="335"/>
      <c r="AJ16" s="335"/>
      <c r="AK16" s="335"/>
      <c r="AL16" s="335"/>
      <c r="AM16" s="335"/>
    </row>
    <row r="17" spans="1:39">
      <c r="A17" s="337" t="s">
        <v>501</v>
      </c>
      <c r="B17" s="326"/>
      <c r="C17" s="326"/>
      <c r="D17" s="326"/>
      <c r="E17" s="326" t="s">
        <v>502</v>
      </c>
      <c r="F17" s="326" t="s">
        <v>442</v>
      </c>
      <c r="G17" s="326"/>
      <c r="H17" s="326"/>
      <c r="I17" s="335"/>
      <c r="J17" s="335"/>
      <c r="K17" s="335"/>
      <c r="L17" s="335"/>
      <c r="M17" s="337" t="s">
        <v>503</v>
      </c>
      <c r="N17" s="340" t="s">
        <v>504</v>
      </c>
      <c r="O17" s="340" t="s">
        <v>505</v>
      </c>
      <c r="P17" s="340" t="s">
        <v>369</v>
      </c>
      <c r="Q17" s="340" t="s">
        <v>506</v>
      </c>
      <c r="R17" s="326" t="s">
        <v>500</v>
      </c>
      <c r="S17" s="335"/>
      <c r="T17" s="335"/>
      <c r="U17" s="335"/>
      <c r="V17" s="335"/>
      <c r="W17" s="335"/>
      <c r="X17" s="335"/>
      <c r="Y17" s="335"/>
      <c r="Z17" s="335"/>
      <c r="AA17" s="335"/>
      <c r="AB17" s="335"/>
      <c r="AC17" s="335"/>
      <c r="AD17" s="335"/>
      <c r="AE17" s="335"/>
      <c r="AF17" s="335"/>
      <c r="AG17" s="335"/>
      <c r="AH17" s="335"/>
      <c r="AI17" s="335"/>
      <c r="AJ17" s="335"/>
      <c r="AK17" s="335"/>
      <c r="AL17" s="335"/>
      <c r="AM17" s="335"/>
    </row>
    <row r="18" spans="1:39">
      <c r="A18" s="337" t="s">
        <v>507</v>
      </c>
      <c r="B18" s="326"/>
      <c r="C18" s="340" t="s">
        <v>508</v>
      </c>
      <c r="D18" s="340" t="s">
        <v>363</v>
      </c>
      <c r="E18" s="340" t="s">
        <v>509</v>
      </c>
      <c r="F18" s="326" t="s">
        <v>442</v>
      </c>
      <c r="G18" s="326"/>
      <c r="H18" s="326"/>
      <c r="I18" s="335"/>
      <c r="J18" s="335"/>
      <c r="K18" s="335"/>
      <c r="L18" s="335"/>
      <c r="M18" s="337" t="s">
        <v>510</v>
      </c>
      <c r="N18" s="340" t="s">
        <v>511</v>
      </c>
      <c r="O18" s="340" t="s">
        <v>512</v>
      </c>
      <c r="P18" s="340" t="s">
        <v>513</v>
      </c>
      <c r="Q18" s="340" t="s">
        <v>514</v>
      </c>
      <c r="R18" s="326" t="s">
        <v>515</v>
      </c>
      <c r="S18" s="335"/>
      <c r="T18" s="335"/>
      <c r="U18" s="335"/>
      <c r="V18" s="335"/>
      <c r="W18" s="335"/>
      <c r="X18" s="335"/>
      <c r="Y18" s="335"/>
      <c r="Z18" s="335"/>
      <c r="AA18" s="335"/>
      <c r="AB18" s="335"/>
      <c r="AC18" s="335"/>
      <c r="AD18" s="335"/>
      <c r="AE18" s="335"/>
      <c r="AF18" s="335"/>
      <c r="AG18" s="335"/>
      <c r="AH18" s="335"/>
      <c r="AI18" s="335"/>
      <c r="AJ18" s="335"/>
      <c r="AK18" s="335"/>
      <c r="AL18" s="335"/>
      <c r="AM18" s="335"/>
    </row>
    <row r="19" spans="1:39">
      <c r="A19" s="337" t="s">
        <v>516</v>
      </c>
      <c r="B19" s="326" t="s">
        <v>352</v>
      </c>
      <c r="C19" s="340" t="s">
        <v>517</v>
      </c>
      <c r="D19" s="340" t="s">
        <v>518</v>
      </c>
      <c r="E19" s="340" t="s">
        <v>519</v>
      </c>
      <c r="F19" s="326" t="s">
        <v>442</v>
      </c>
      <c r="G19" s="326" t="s">
        <v>352</v>
      </c>
      <c r="H19" s="326" t="s">
        <v>520</v>
      </c>
      <c r="I19" s="335"/>
      <c r="J19" s="335"/>
      <c r="K19" s="335"/>
      <c r="L19" s="335"/>
      <c r="M19" s="337" t="s">
        <v>521</v>
      </c>
      <c r="N19" s="338"/>
      <c r="O19" s="338"/>
      <c r="P19" s="338"/>
      <c r="Q19" s="340" t="s">
        <v>514</v>
      </c>
      <c r="R19" s="326" t="s">
        <v>522</v>
      </c>
      <c r="S19" s="335"/>
      <c r="T19" s="335"/>
      <c r="U19" s="335"/>
      <c r="V19" s="335"/>
      <c r="W19" s="335"/>
      <c r="X19" s="335"/>
      <c r="Y19" s="335"/>
      <c r="Z19" s="335"/>
      <c r="AA19" s="335"/>
      <c r="AB19" s="335"/>
      <c r="AC19" s="335"/>
      <c r="AD19" s="335"/>
      <c r="AE19" s="335"/>
      <c r="AF19" s="335"/>
      <c r="AG19" s="335"/>
      <c r="AH19" s="335"/>
      <c r="AI19" s="335"/>
      <c r="AJ19" s="335"/>
      <c r="AK19" s="335"/>
      <c r="AL19" s="335"/>
      <c r="AM19" s="335"/>
    </row>
    <row r="20" spans="1:39">
      <c r="A20" s="337" t="s">
        <v>523</v>
      </c>
      <c r="B20" s="326"/>
      <c r="C20" s="340" t="s">
        <v>524</v>
      </c>
      <c r="D20" s="340" t="s">
        <v>525</v>
      </c>
      <c r="E20" s="340" t="s">
        <v>526</v>
      </c>
      <c r="F20" s="326" t="s">
        <v>442</v>
      </c>
      <c r="G20" s="326"/>
      <c r="H20" s="326"/>
      <c r="I20" s="335"/>
      <c r="J20" s="335"/>
      <c r="K20" s="335"/>
      <c r="L20" s="335"/>
      <c r="M20" s="337" t="s">
        <v>527</v>
      </c>
      <c r="N20" s="340" t="s">
        <v>361</v>
      </c>
      <c r="O20" s="340" t="s">
        <v>512</v>
      </c>
      <c r="P20" s="340" t="s">
        <v>513</v>
      </c>
      <c r="Q20" s="340" t="s">
        <v>528</v>
      </c>
      <c r="R20" s="326" t="s">
        <v>515</v>
      </c>
      <c r="S20" s="335"/>
      <c r="T20" s="335"/>
      <c r="U20" s="335"/>
      <c r="V20" s="335"/>
      <c r="W20" s="335"/>
      <c r="X20" s="335"/>
      <c r="Y20" s="335"/>
      <c r="Z20" s="335"/>
      <c r="AA20" s="335"/>
      <c r="AB20" s="335"/>
      <c r="AC20" s="335"/>
      <c r="AD20" s="335"/>
      <c r="AE20" s="335"/>
      <c r="AF20" s="335"/>
      <c r="AG20" s="335"/>
      <c r="AH20" s="335"/>
      <c r="AI20" s="335"/>
      <c r="AJ20" s="335"/>
      <c r="AK20" s="335"/>
      <c r="AL20" s="335"/>
      <c r="AM20" s="335"/>
    </row>
    <row r="21" spans="1:39">
      <c r="A21" s="337" t="s">
        <v>529</v>
      </c>
      <c r="B21" s="326" t="s">
        <v>379</v>
      </c>
      <c r="C21" s="340" t="s">
        <v>530</v>
      </c>
      <c r="D21" s="340" t="s">
        <v>531</v>
      </c>
      <c r="E21" s="340" t="s">
        <v>532</v>
      </c>
      <c r="F21" s="326" t="s">
        <v>442</v>
      </c>
      <c r="G21" s="326" t="s">
        <v>180</v>
      </c>
      <c r="H21" s="326" t="s">
        <v>180</v>
      </c>
      <c r="I21" s="335"/>
      <c r="J21" s="335"/>
      <c r="K21" s="335"/>
      <c r="L21" s="335"/>
      <c r="M21" s="337" t="s">
        <v>533</v>
      </c>
      <c r="N21" s="338" t="s">
        <v>511</v>
      </c>
      <c r="O21" s="338" t="s">
        <v>534</v>
      </c>
      <c r="P21" s="338" t="s">
        <v>363</v>
      </c>
      <c r="Q21" s="338" t="s">
        <v>535</v>
      </c>
      <c r="R21" s="326" t="s">
        <v>536</v>
      </c>
      <c r="S21" s="335"/>
      <c r="T21" s="335"/>
      <c r="U21" s="335"/>
      <c r="V21" s="335"/>
      <c r="W21" s="335"/>
      <c r="X21" s="335"/>
      <c r="Y21" s="335"/>
      <c r="Z21" s="335"/>
      <c r="AA21" s="335"/>
      <c r="AB21" s="335"/>
      <c r="AC21" s="335"/>
      <c r="AD21" s="335"/>
      <c r="AE21" s="335"/>
      <c r="AF21" s="335"/>
      <c r="AG21" s="335"/>
      <c r="AH21" s="335"/>
      <c r="AI21" s="335"/>
      <c r="AJ21" s="335"/>
      <c r="AK21" s="335"/>
      <c r="AL21" s="335"/>
      <c r="AM21" s="335"/>
    </row>
    <row r="22" spans="1:39">
      <c r="A22" s="337" t="s">
        <v>537</v>
      </c>
      <c r="B22" s="326"/>
      <c r="C22" s="338"/>
      <c r="D22" s="338"/>
      <c r="E22" s="338" t="s">
        <v>538</v>
      </c>
      <c r="F22" s="326" t="s">
        <v>442</v>
      </c>
      <c r="G22" s="326"/>
      <c r="H22" s="326"/>
      <c r="I22" s="335"/>
      <c r="J22" s="335"/>
      <c r="K22" s="335"/>
      <c r="L22" s="335"/>
      <c r="M22" s="337" t="s">
        <v>539</v>
      </c>
      <c r="N22" s="340" t="s">
        <v>400</v>
      </c>
      <c r="O22" s="340" t="s">
        <v>540</v>
      </c>
      <c r="P22" s="340" t="s">
        <v>369</v>
      </c>
      <c r="Q22" s="340" t="s">
        <v>541</v>
      </c>
      <c r="R22" s="326" t="s">
        <v>542</v>
      </c>
      <c r="S22" s="335"/>
      <c r="T22" s="335"/>
      <c r="U22" s="335"/>
      <c r="V22" s="335"/>
      <c r="W22" s="335"/>
      <c r="X22" s="335"/>
      <c r="Y22" s="335"/>
      <c r="Z22" s="335"/>
      <c r="AA22" s="335"/>
      <c r="AB22" s="335"/>
      <c r="AC22" s="335"/>
      <c r="AD22" s="335"/>
      <c r="AE22" s="335"/>
      <c r="AF22" s="335"/>
      <c r="AI22" s="335"/>
      <c r="AJ22" s="335"/>
      <c r="AK22" s="335"/>
      <c r="AL22" s="335"/>
      <c r="AM22" s="335"/>
    </row>
    <row r="23" spans="1:39">
      <c r="A23" s="337" t="s">
        <v>543</v>
      </c>
      <c r="B23" s="326"/>
      <c r="C23" s="338"/>
      <c r="D23" s="338"/>
      <c r="E23" s="338" t="s">
        <v>538</v>
      </c>
      <c r="F23" s="326" t="s">
        <v>442</v>
      </c>
      <c r="G23" s="326"/>
      <c r="H23" s="326"/>
      <c r="I23" s="335"/>
      <c r="J23" s="335"/>
      <c r="K23" s="335"/>
      <c r="L23" s="335"/>
      <c r="M23" s="337" t="s">
        <v>544</v>
      </c>
      <c r="N23" s="338"/>
      <c r="O23" s="338"/>
      <c r="P23" s="338"/>
      <c r="Q23" s="340" t="s">
        <v>541</v>
      </c>
      <c r="R23" s="326" t="s">
        <v>542</v>
      </c>
      <c r="S23" s="335"/>
      <c r="T23" s="335"/>
      <c r="U23" s="335"/>
      <c r="V23" s="335"/>
      <c r="W23" s="335"/>
      <c r="X23" s="335"/>
      <c r="Y23" s="335"/>
      <c r="Z23" s="335"/>
      <c r="AA23" s="335"/>
      <c r="AB23" s="335"/>
      <c r="AC23" s="335"/>
      <c r="AD23" s="335"/>
      <c r="AE23" s="335"/>
      <c r="AF23" s="335"/>
      <c r="AI23" s="335"/>
      <c r="AJ23" s="335"/>
      <c r="AK23" s="335"/>
      <c r="AL23" s="335"/>
      <c r="AM23" s="335"/>
    </row>
    <row r="24" spans="1:39">
      <c r="A24" s="337" t="s">
        <v>545</v>
      </c>
      <c r="B24" s="326" t="s">
        <v>379</v>
      </c>
      <c r="C24" s="340" t="s">
        <v>517</v>
      </c>
      <c r="D24" s="340" t="s">
        <v>434</v>
      </c>
      <c r="E24" s="340" t="s">
        <v>546</v>
      </c>
      <c r="F24" s="326" t="s">
        <v>442</v>
      </c>
      <c r="G24" s="326" t="s">
        <v>379</v>
      </c>
      <c r="H24" s="326" t="s">
        <v>439</v>
      </c>
      <c r="I24" s="335"/>
      <c r="J24" s="335"/>
      <c r="K24" s="335"/>
      <c r="L24" s="335"/>
      <c r="M24" s="337" t="s">
        <v>547</v>
      </c>
      <c r="N24" s="340" t="s">
        <v>511</v>
      </c>
      <c r="O24" s="340" t="s">
        <v>548</v>
      </c>
      <c r="P24" s="340" t="s">
        <v>363</v>
      </c>
      <c r="Q24" s="340" t="s">
        <v>549</v>
      </c>
      <c r="R24" s="326" t="s">
        <v>550</v>
      </c>
      <c r="S24" s="335"/>
      <c r="T24" s="335"/>
      <c r="U24" s="335"/>
      <c r="V24" s="335"/>
      <c r="W24" s="335"/>
      <c r="X24" s="335"/>
      <c r="Y24" s="335"/>
      <c r="Z24" s="335"/>
      <c r="AA24" s="335"/>
      <c r="AB24" s="335"/>
      <c r="AC24" s="335"/>
      <c r="AD24" s="335"/>
      <c r="AE24" s="335"/>
      <c r="AF24" s="335"/>
      <c r="AI24" s="335"/>
      <c r="AJ24" s="335"/>
      <c r="AK24" s="335"/>
      <c r="AL24" s="335"/>
      <c r="AM24" s="335"/>
    </row>
    <row r="25" spans="1:39">
      <c r="A25" s="337" t="s">
        <v>551</v>
      </c>
      <c r="B25" s="326" t="s">
        <v>379</v>
      </c>
      <c r="C25" s="338" t="s">
        <v>395</v>
      </c>
      <c r="D25" s="338" t="s">
        <v>552</v>
      </c>
      <c r="E25" s="338" t="s">
        <v>553</v>
      </c>
      <c r="F25" s="326" t="s">
        <v>454</v>
      </c>
      <c r="G25" s="326" t="s">
        <v>180</v>
      </c>
      <c r="H25" s="326" t="s">
        <v>180</v>
      </c>
      <c r="I25" s="335"/>
      <c r="J25" s="335"/>
      <c r="K25" s="335"/>
      <c r="L25" s="335"/>
      <c r="M25" s="337" t="s">
        <v>554</v>
      </c>
      <c r="N25" s="338"/>
      <c r="O25" s="338"/>
      <c r="P25" s="338"/>
      <c r="Q25" s="340" t="s">
        <v>541</v>
      </c>
      <c r="R25" s="326" t="s">
        <v>542</v>
      </c>
      <c r="S25" s="335"/>
      <c r="T25" s="335"/>
      <c r="U25" s="335"/>
      <c r="V25" s="335"/>
      <c r="W25" s="335"/>
      <c r="X25" s="335"/>
      <c r="Y25" s="335"/>
      <c r="Z25" s="335"/>
      <c r="AA25" s="335"/>
      <c r="AB25" s="335"/>
      <c r="AC25" s="335"/>
      <c r="AD25" s="335"/>
      <c r="AE25" s="335"/>
      <c r="AF25" s="335"/>
      <c r="AI25" s="335"/>
      <c r="AJ25" s="335"/>
      <c r="AK25" s="335"/>
      <c r="AL25" s="335"/>
      <c r="AM25" s="335"/>
    </row>
    <row r="26" spans="1:39">
      <c r="A26" s="337" t="s">
        <v>555</v>
      </c>
      <c r="B26" s="326" t="s">
        <v>379</v>
      </c>
      <c r="C26" s="338" t="s">
        <v>395</v>
      </c>
      <c r="D26" s="338" t="s">
        <v>556</v>
      </c>
      <c r="E26" s="338" t="s">
        <v>557</v>
      </c>
      <c r="F26" s="326" t="s">
        <v>454</v>
      </c>
      <c r="G26" s="326" t="s">
        <v>180</v>
      </c>
      <c r="H26" s="326" t="s">
        <v>180</v>
      </c>
      <c r="I26" s="335"/>
      <c r="J26" s="335"/>
      <c r="K26" s="335"/>
      <c r="L26" s="335"/>
      <c r="M26" s="337" t="s">
        <v>558</v>
      </c>
      <c r="N26" s="340" t="s">
        <v>498</v>
      </c>
      <c r="O26" s="340" t="s">
        <v>512</v>
      </c>
      <c r="P26" s="340" t="s">
        <v>363</v>
      </c>
      <c r="Q26" s="340" t="s">
        <v>549</v>
      </c>
      <c r="R26" s="326" t="s">
        <v>542</v>
      </c>
      <c r="S26" s="335"/>
      <c r="T26" s="335"/>
      <c r="U26" s="335"/>
      <c r="V26" s="335"/>
      <c r="W26" s="335"/>
      <c r="X26" s="335"/>
      <c r="Y26" s="335"/>
      <c r="Z26" s="335"/>
      <c r="AA26" s="335"/>
      <c r="AB26" s="335"/>
      <c r="AC26" s="335"/>
      <c r="AD26" s="335"/>
      <c r="AE26" s="335"/>
      <c r="AF26" s="335"/>
      <c r="AI26" s="335"/>
      <c r="AJ26" s="335"/>
      <c r="AK26" s="335"/>
      <c r="AL26" s="335"/>
      <c r="AM26" s="335"/>
    </row>
    <row r="27" spans="1:39">
      <c r="A27" s="337" t="s">
        <v>559</v>
      </c>
      <c r="B27" s="326"/>
      <c r="C27" s="338" t="s">
        <v>395</v>
      </c>
      <c r="D27" s="338" t="s">
        <v>556</v>
      </c>
      <c r="E27" s="338" t="s">
        <v>560</v>
      </c>
      <c r="F27" s="326" t="s">
        <v>454</v>
      </c>
      <c r="G27" s="326"/>
      <c r="H27" s="326"/>
      <c r="I27" s="335"/>
      <c r="J27" s="335"/>
      <c r="K27" s="335"/>
      <c r="L27" s="335"/>
      <c r="M27" s="337" t="s">
        <v>561</v>
      </c>
      <c r="N27" s="338"/>
      <c r="O27" s="338"/>
      <c r="P27" s="338"/>
      <c r="Q27" s="340" t="s">
        <v>549</v>
      </c>
      <c r="R27" s="326" t="s">
        <v>542</v>
      </c>
      <c r="S27" s="335"/>
      <c r="T27" s="335"/>
      <c r="U27" s="335"/>
      <c r="V27" s="335"/>
      <c r="W27" s="335"/>
      <c r="X27" s="335"/>
      <c r="Y27" s="335"/>
      <c r="Z27" s="335"/>
      <c r="AA27" s="335"/>
      <c r="AB27" s="335"/>
      <c r="AC27" s="335"/>
      <c r="AD27" s="335"/>
      <c r="AE27" s="335"/>
      <c r="AF27" s="335"/>
      <c r="AI27" s="335"/>
      <c r="AJ27" s="335"/>
      <c r="AK27" s="335"/>
      <c r="AL27" s="335"/>
      <c r="AM27" s="335"/>
    </row>
    <row r="28" spans="1:39">
      <c r="A28" s="337" t="s">
        <v>562</v>
      </c>
      <c r="B28" s="326"/>
      <c r="C28" s="338"/>
      <c r="D28" s="338"/>
      <c r="E28" s="338" t="s">
        <v>563</v>
      </c>
      <c r="F28" s="326" t="s">
        <v>454</v>
      </c>
      <c r="G28" s="326"/>
      <c r="H28" s="326"/>
      <c r="I28" s="335"/>
      <c r="J28" s="335"/>
      <c r="K28" s="335"/>
      <c r="L28" s="335"/>
      <c r="M28" s="337" t="s">
        <v>564</v>
      </c>
      <c r="N28" s="338"/>
      <c r="O28" s="338"/>
      <c r="P28" s="338"/>
      <c r="Q28" s="340" t="s">
        <v>549</v>
      </c>
      <c r="R28" s="326" t="s">
        <v>542</v>
      </c>
      <c r="S28" s="335"/>
      <c r="T28" s="335"/>
      <c r="U28" s="335"/>
      <c r="V28" s="335"/>
      <c r="W28" s="335"/>
      <c r="X28" s="335"/>
      <c r="Y28" s="335"/>
      <c r="Z28" s="335"/>
      <c r="AA28" s="335"/>
      <c r="AB28" s="335"/>
      <c r="AC28" s="335"/>
      <c r="AD28" s="335"/>
      <c r="AE28" s="335"/>
      <c r="AF28" s="335"/>
      <c r="AI28" s="335"/>
      <c r="AJ28" s="335"/>
      <c r="AK28" s="335"/>
      <c r="AL28" s="335"/>
      <c r="AM28" s="335"/>
    </row>
    <row r="29" spans="1:39">
      <c r="A29" s="337" t="s">
        <v>565</v>
      </c>
      <c r="B29" s="326"/>
      <c r="C29" s="338"/>
      <c r="D29" s="338"/>
      <c r="E29" s="338" t="s">
        <v>566</v>
      </c>
      <c r="F29" s="326" t="s">
        <v>454</v>
      </c>
      <c r="G29" s="326"/>
      <c r="H29" s="326"/>
      <c r="I29" s="335"/>
      <c r="J29" s="335"/>
      <c r="K29" s="335"/>
      <c r="L29" s="335"/>
      <c r="M29" s="337" t="s">
        <v>567</v>
      </c>
      <c r="N29" s="338"/>
      <c r="O29" s="338"/>
      <c r="P29" s="338"/>
      <c r="Q29" s="340" t="s">
        <v>549</v>
      </c>
      <c r="R29" s="326" t="s">
        <v>542</v>
      </c>
      <c r="S29" s="335"/>
      <c r="T29" s="335"/>
      <c r="U29" s="335"/>
      <c r="V29" s="335"/>
      <c r="W29" s="335"/>
      <c r="X29" s="335"/>
      <c r="Y29" s="335"/>
      <c r="Z29" s="335"/>
      <c r="AA29" s="335"/>
      <c r="AB29" s="335"/>
      <c r="AC29" s="335"/>
      <c r="AD29" s="335"/>
      <c r="AE29" s="335"/>
      <c r="AF29" s="335"/>
      <c r="AI29" s="335"/>
      <c r="AJ29" s="335"/>
      <c r="AK29" s="335"/>
      <c r="AL29" s="335"/>
      <c r="AM29" s="335"/>
    </row>
    <row r="30" spans="1:39">
      <c r="A30" s="337" t="s">
        <v>568</v>
      </c>
      <c r="B30" s="326"/>
      <c r="C30" s="338"/>
      <c r="D30" s="338"/>
      <c r="E30" s="338" t="s">
        <v>566</v>
      </c>
      <c r="F30" s="326" t="s">
        <v>454</v>
      </c>
      <c r="G30" s="326"/>
      <c r="H30" s="326"/>
      <c r="I30" s="335"/>
      <c r="J30" s="335"/>
      <c r="K30" s="335"/>
      <c r="L30" s="335"/>
      <c r="M30" s="337" t="s">
        <v>569</v>
      </c>
      <c r="N30" s="338"/>
      <c r="O30" s="338"/>
      <c r="P30" s="338"/>
      <c r="Q30" s="340" t="s">
        <v>549</v>
      </c>
      <c r="R30" s="326" t="s">
        <v>542</v>
      </c>
      <c r="S30" s="335"/>
      <c r="T30" s="335"/>
      <c r="U30" s="335"/>
      <c r="V30" s="335"/>
      <c r="W30" s="335"/>
      <c r="X30" s="335"/>
      <c r="Y30" s="335"/>
      <c r="Z30" s="335"/>
      <c r="AA30" s="335"/>
      <c r="AB30" s="335"/>
      <c r="AC30" s="335"/>
      <c r="AD30" s="335"/>
      <c r="AE30" s="335"/>
      <c r="AF30" s="335"/>
      <c r="AG30" s="335"/>
      <c r="AH30" s="335"/>
      <c r="AI30" s="335"/>
      <c r="AJ30" s="335"/>
      <c r="AK30" s="335"/>
      <c r="AL30" s="335"/>
      <c r="AM30" s="335"/>
    </row>
    <row r="31" spans="1:39">
      <c r="A31" s="337" t="s">
        <v>570</v>
      </c>
      <c r="B31" s="326"/>
      <c r="C31" s="338"/>
      <c r="D31" s="338"/>
      <c r="E31" s="338" t="s">
        <v>566</v>
      </c>
      <c r="F31" s="326" t="s">
        <v>454</v>
      </c>
      <c r="G31" s="326"/>
      <c r="H31" s="326"/>
      <c r="I31" s="335"/>
      <c r="J31" s="335"/>
      <c r="K31" s="335"/>
      <c r="L31" s="335"/>
      <c r="M31" s="337" t="s">
        <v>571</v>
      </c>
      <c r="N31" s="338" t="s">
        <v>456</v>
      </c>
      <c r="O31" s="338" t="s">
        <v>572</v>
      </c>
      <c r="P31" s="338" t="s">
        <v>363</v>
      </c>
      <c r="Q31" s="340" t="s">
        <v>549</v>
      </c>
      <c r="R31" s="326" t="s">
        <v>542</v>
      </c>
      <c r="S31" s="335"/>
      <c r="T31" s="335"/>
      <c r="U31" s="335"/>
      <c r="V31" s="335"/>
      <c r="W31" s="335"/>
      <c r="X31" s="335"/>
      <c r="Y31" s="335"/>
      <c r="Z31" s="335"/>
      <c r="AA31" s="335"/>
      <c r="AB31" s="335"/>
      <c r="AC31" s="335"/>
      <c r="AD31" s="335"/>
      <c r="AE31" s="335"/>
      <c r="AF31" s="335"/>
      <c r="AG31" s="335"/>
      <c r="AH31" s="335"/>
      <c r="AI31" s="335"/>
      <c r="AJ31" s="335"/>
      <c r="AK31" s="335"/>
      <c r="AL31" s="335"/>
      <c r="AM31" s="335"/>
    </row>
    <row r="32" spans="1:39">
      <c r="A32" s="337" t="s">
        <v>573</v>
      </c>
      <c r="B32" s="326"/>
      <c r="C32" s="338" t="s">
        <v>451</v>
      </c>
      <c r="D32" s="338" t="s">
        <v>363</v>
      </c>
      <c r="E32" s="338" t="s">
        <v>574</v>
      </c>
      <c r="F32" s="326" t="s">
        <v>454</v>
      </c>
      <c r="G32" s="326"/>
      <c r="H32" s="326"/>
      <c r="I32" s="335"/>
      <c r="J32" s="335"/>
      <c r="K32" s="335"/>
      <c r="L32" s="335"/>
      <c r="M32" s="337" t="s">
        <v>575</v>
      </c>
      <c r="N32" s="338"/>
      <c r="O32" s="338"/>
      <c r="P32" s="338"/>
      <c r="Q32" s="340" t="s">
        <v>549</v>
      </c>
      <c r="R32" s="326" t="s">
        <v>542</v>
      </c>
      <c r="S32" s="335"/>
      <c r="T32" s="335"/>
      <c r="U32" s="335"/>
      <c r="V32" s="335"/>
      <c r="W32" s="335"/>
      <c r="X32" s="335"/>
      <c r="Y32" s="335"/>
      <c r="Z32" s="335"/>
      <c r="AA32" s="335"/>
      <c r="AB32" s="335"/>
      <c r="AC32" s="335"/>
      <c r="AD32" s="335"/>
      <c r="AE32" s="335"/>
      <c r="AF32" s="335"/>
      <c r="AG32" s="335"/>
      <c r="AH32" s="335"/>
      <c r="AI32" s="335"/>
      <c r="AJ32" s="335"/>
      <c r="AK32" s="335"/>
      <c r="AL32" s="335"/>
      <c r="AM32" s="335"/>
    </row>
    <row r="33" spans="1:39">
      <c r="A33" s="337" t="s">
        <v>576</v>
      </c>
      <c r="B33" s="326" t="s">
        <v>379</v>
      </c>
      <c r="C33" s="338" t="s">
        <v>451</v>
      </c>
      <c r="D33" s="338" t="s">
        <v>363</v>
      </c>
      <c r="E33" s="338" t="s">
        <v>577</v>
      </c>
      <c r="F33" s="326" t="s">
        <v>454</v>
      </c>
      <c r="G33" s="326" t="s">
        <v>379</v>
      </c>
      <c r="H33" s="326" t="s">
        <v>439</v>
      </c>
      <c r="I33" s="335"/>
      <c r="J33" s="335"/>
      <c r="K33" s="335"/>
      <c r="L33" s="335"/>
      <c r="M33" s="337" t="s">
        <v>578</v>
      </c>
      <c r="N33" s="338"/>
      <c r="O33" s="338"/>
      <c r="P33" s="338"/>
      <c r="Q33" s="338" t="s">
        <v>579</v>
      </c>
      <c r="R33" s="326" t="s">
        <v>542</v>
      </c>
      <c r="S33" s="335"/>
      <c r="T33" s="335"/>
      <c r="U33" s="335"/>
      <c r="V33" s="335"/>
      <c r="W33" s="335"/>
      <c r="X33" s="335"/>
      <c r="Y33" s="335"/>
      <c r="Z33" s="335"/>
      <c r="AA33" s="335"/>
      <c r="AB33" s="335"/>
      <c r="AC33" s="335"/>
      <c r="AD33" s="335"/>
      <c r="AE33" s="335"/>
      <c r="AF33" s="335"/>
      <c r="AG33" s="335"/>
      <c r="AH33" s="335"/>
      <c r="AI33" s="335"/>
      <c r="AJ33" s="335"/>
      <c r="AK33" s="335"/>
      <c r="AL33" s="335"/>
      <c r="AM33" s="335"/>
    </row>
    <row r="34" spans="1:39">
      <c r="A34" s="337" t="s">
        <v>580</v>
      </c>
      <c r="B34" s="326" t="s">
        <v>379</v>
      </c>
      <c r="C34" s="338" t="s">
        <v>517</v>
      </c>
      <c r="D34" s="338" t="s">
        <v>363</v>
      </c>
      <c r="E34" s="338" t="s">
        <v>581</v>
      </c>
      <c r="F34" s="326" t="s">
        <v>454</v>
      </c>
      <c r="G34" s="326" t="s">
        <v>379</v>
      </c>
      <c r="H34" s="326" t="s">
        <v>439</v>
      </c>
      <c r="I34" s="335"/>
      <c r="J34" s="335"/>
      <c r="K34" s="335"/>
      <c r="L34" s="335"/>
      <c r="M34" s="337" t="s">
        <v>582</v>
      </c>
      <c r="N34" s="340" t="s">
        <v>400</v>
      </c>
      <c r="O34" s="340" t="s">
        <v>583</v>
      </c>
      <c r="P34" s="340" t="s">
        <v>531</v>
      </c>
      <c r="Q34" s="340" t="s">
        <v>584</v>
      </c>
      <c r="R34" s="326" t="s">
        <v>500</v>
      </c>
      <c r="S34" s="335"/>
      <c r="T34" s="335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</row>
    <row r="35" spans="1:39">
      <c r="A35" s="337" t="s">
        <v>585</v>
      </c>
      <c r="B35" s="326" t="s">
        <v>379</v>
      </c>
      <c r="C35" s="340" t="s">
        <v>530</v>
      </c>
      <c r="D35" s="340" t="s">
        <v>363</v>
      </c>
      <c r="E35" s="340" t="s">
        <v>581</v>
      </c>
      <c r="F35" s="326" t="s">
        <v>454</v>
      </c>
      <c r="G35" s="326" t="s">
        <v>180</v>
      </c>
      <c r="H35" s="326" t="s">
        <v>180</v>
      </c>
      <c r="I35" s="335"/>
      <c r="J35" s="335"/>
      <c r="K35" s="335"/>
      <c r="L35" s="335"/>
      <c r="M35" s="337" t="s">
        <v>586</v>
      </c>
      <c r="N35" s="340" t="s">
        <v>498</v>
      </c>
      <c r="O35" s="340" t="s">
        <v>587</v>
      </c>
      <c r="P35" s="340" t="s">
        <v>588</v>
      </c>
      <c r="Q35" s="340" t="s">
        <v>589</v>
      </c>
      <c r="R35" s="326" t="s">
        <v>590</v>
      </c>
      <c r="S35" s="335"/>
      <c r="T35" s="335"/>
      <c r="U35" s="335"/>
      <c r="V35" s="335"/>
      <c r="W35" s="335"/>
      <c r="X35" s="335"/>
      <c r="Y35" s="335"/>
      <c r="Z35" s="335"/>
      <c r="AA35" s="335"/>
      <c r="AB35" s="335"/>
      <c r="AC35" s="335"/>
      <c r="AD35" s="335"/>
      <c r="AE35" s="335"/>
      <c r="AF35" s="335"/>
      <c r="AG35" s="335"/>
      <c r="AH35" s="335"/>
      <c r="AI35" s="335"/>
      <c r="AJ35" s="335"/>
      <c r="AK35" s="335"/>
      <c r="AL35" s="335"/>
      <c r="AM35" s="335"/>
    </row>
    <row r="36" spans="1:39">
      <c r="A36" s="337" t="s">
        <v>591</v>
      </c>
      <c r="B36" s="326"/>
      <c r="C36" s="340" t="s">
        <v>451</v>
      </c>
      <c r="D36" s="340" t="s">
        <v>363</v>
      </c>
      <c r="E36" s="340" t="s">
        <v>581</v>
      </c>
      <c r="F36" s="326" t="s">
        <v>454</v>
      </c>
      <c r="G36" s="326"/>
      <c r="H36" s="326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</row>
    <row r="37" spans="1:39">
      <c r="A37" s="337" t="s">
        <v>592</v>
      </c>
      <c r="B37" s="326" t="s">
        <v>379</v>
      </c>
      <c r="C37" s="340" t="s">
        <v>451</v>
      </c>
      <c r="D37" s="340" t="s">
        <v>363</v>
      </c>
      <c r="E37" s="340" t="s">
        <v>581</v>
      </c>
      <c r="F37" s="326" t="s">
        <v>454</v>
      </c>
      <c r="G37" s="326" t="s">
        <v>379</v>
      </c>
      <c r="H37" s="326" t="s">
        <v>439</v>
      </c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5"/>
      <c r="AJ37" s="335"/>
      <c r="AK37" s="335"/>
      <c r="AL37" s="335"/>
      <c r="AM37" s="335"/>
    </row>
    <row r="38" spans="1:39">
      <c r="A38" s="337" t="s">
        <v>593</v>
      </c>
      <c r="B38" s="326"/>
      <c r="C38" s="340" t="s">
        <v>594</v>
      </c>
      <c r="D38" s="340" t="s">
        <v>531</v>
      </c>
      <c r="E38" s="340" t="s">
        <v>595</v>
      </c>
      <c r="F38" s="326" t="s">
        <v>454</v>
      </c>
      <c r="G38" s="326"/>
      <c r="H38" s="326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5"/>
      <c r="AF38" s="335"/>
    </row>
    <row r="39" spans="1:39">
      <c r="A39" s="337" t="s">
        <v>596</v>
      </c>
      <c r="B39" s="326"/>
      <c r="C39" s="340" t="s">
        <v>517</v>
      </c>
      <c r="D39" s="340" t="s">
        <v>434</v>
      </c>
      <c r="E39" s="340" t="s">
        <v>597</v>
      </c>
      <c r="F39" s="326" t="s">
        <v>454</v>
      </c>
      <c r="G39" s="326"/>
      <c r="H39" s="326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</row>
    <row r="40" spans="1:39">
      <c r="A40" s="337" t="s">
        <v>598</v>
      </c>
      <c r="B40" s="326" t="s">
        <v>352</v>
      </c>
      <c r="C40" s="340" t="s">
        <v>517</v>
      </c>
      <c r="D40" s="340" t="s">
        <v>434</v>
      </c>
      <c r="E40" s="340" t="s">
        <v>597</v>
      </c>
      <c r="F40" s="326" t="s">
        <v>454</v>
      </c>
      <c r="G40" s="326" t="s">
        <v>352</v>
      </c>
      <c r="H40" s="326" t="s">
        <v>599</v>
      </c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</row>
    <row r="41" spans="1:39">
      <c r="A41" s="337" t="s">
        <v>600</v>
      </c>
      <c r="B41" s="326" t="s">
        <v>379</v>
      </c>
      <c r="C41" s="340" t="s">
        <v>451</v>
      </c>
      <c r="D41" s="340" t="s">
        <v>434</v>
      </c>
      <c r="E41" s="340" t="s">
        <v>597</v>
      </c>
      <c r="F41" s="326" t="s">
        <v>454</v>
      </c>
      <c r="G41" s="326" t="s">
        <v>379</v>
      </c>
      <c r="H41" s="326" t="s">
        <v>439</v>
      </c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  <c r="AA41" s="335"/>
      <c r="AB41" s="335"/>
      <c r="AC41" s="335"/>
      <c r="AD41" s="335"/>
      <c r="AE41" s="335"/>
      <c r="AF41" s="335"/>
    </row>
    <row r="42" spans="1:39">
      <c r="A42" s="337" t="s">
        <v>601</v>
      </c>
      <c r="B42" s="326"/>
      <c r="C42" s="340" t="s">
        <v>517</v>
      </c>
      <c r="D42" s="340" t="s">
        <v>434</v>
      </c>
      <c r="E42" s="340" t="s">
        <v>602</v>
      </c>
      <c r="F42" s="326" t="s">
        <v>454</v>
      </c>
      <c r="G42" s="326"/>
      <c r="H42" s="326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  <c r="AA42" s="335"/>
      <c r="AB42" s="335"/>
      <c r="AC42" s="335"/>
      <c r="AD42" s="335"/>
      <c r="AE42" s="335"/>
      <c r="AF42" s="335"/>
    </row>
    <row r="43" spans="1:39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5"/>
      <c r="AF43" s="335"/>
    </row>
    <row r="44" spans="1:39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</row>
  </sheetData>
  <mergeCells count="15">
    <mergeCell ref="AE1:AF1"/>
    <mergeCell ref="AG1:AH1"/>
    <mergeCell ref="B2:F2"/>
    <mergeCell ref="G2:H2"/>
    <mergeCell ref="J2:L2"/>
    <mergeCell ref="N2:R2"/>
    <mergeCell ref="T2:X2"/>
    <mergeCell ref="Z2:AA2"/>
    <mergeCell ref="AC2:AD2"/>
    <mergeCell ref="A1:H1"/>
    <mergeCell ref="I1:L1"/>
    <mergeCell ref="M1:R1"/>
    <mergeCell ref="S1:X1"/>
    <mergeCell ref="Y1:AA1"/>
    <mergeCell ref="AB1:AD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DS</vt:lpstr>
      <vt:lpstr>ACT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심지민</dc:creator>
  <cp:lastModifiedBy>이민준</cp:lastModifiedBy>
  <dcterms:created xsi:type="dcterms:W3CDTF">2025-08-17T07:15:10Z</dcterms:created>
  <dcterms:modified xsi:type="dcterms:W3CDTF">2025-09-14T07:42:08Z</dcterms:modified>
</cp:coreProperties>
</file>