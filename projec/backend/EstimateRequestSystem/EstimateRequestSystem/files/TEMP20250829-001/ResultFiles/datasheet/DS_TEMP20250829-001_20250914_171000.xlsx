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njun\Downloads\prohject\PWD\projec\backend\EstimateRequestSystem\EstimateRequestSystem\Templates\"/>
    </mc:Choice>
  </mc:AlternateContent>
  <xr:revisionPtr revIDLastSave="0" documentId="13_ncr:1_{508D0F4B-5973-4A8F-A75D-9728A2193C24}" xr6:coauthVersionLast="47" xr6:coauthVersionMax="47" xr10:uidLastSave="{00000000-0000-0000-0000-000000000000}"/>
  <x:bookViews>
    <x:workbookView xWindow="14295" yWindow="0" windowWidth="14610" windowHeight="15585" firstSheet="2" activeTab="2" xr2:uid="{0118CC28-8635-6148-9E4C-793E5D9E433B}"/>
  </x:bookViews>
  <x:sheets>
    <x:sheet name="ACT" sheetId="4" state="hidden" r:id="rId2"/>
    <x:sheet name="ACC" sheetId="5" state="hidden" r:id="rId3"/>
    <x:sheet name="DS-1" sheetId="9" r:id="rId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S5" i="9"/>
  <x:c r="CN6" i="9"/>
  <x:c r="CS6" i="9"/>
  <x:c r="CN7" i="9"/>
  <x:c r="CO7" i="9"/>
  <x:c r="CS7" i="9"/>
  <x:c r="BQ8" i="9"/>
  <x:c r="CN8" i="9"/>
  <x:c r="CO8" i="9"/>
  <x:c r="CS8" i="9"/>
  <x:c r="BQ9" i="9"/>
  <x:c r="CN9" i="9"/>
  <x:c r="CS9" i="9"/>
  <x:c r="BQ10" i="9"/>
  <x:c r="CA10" i="9"/>
  <x:c r="CN10" i="9"/>
  <x:c r="CS10" i="9"/>
  <x:c r="BQ11" i="9"/>
  <x:c r="CS11" i="9"/>
  <x:c r="BQ12" i="9"/>
  <x:c r="CN12" i="9"/>
  <x:c r="BQ13" i="9"/>
  <x:c r="CN13" i="9"/>
  <x:c r="CS13" i="9"/>
  <x:c r="BQ14" i="9"/>
  <x:c r="CN14" i="9"/>
  <x:c r="CS14" i="9"/>
  <x:c r="BQ15" i="9"/>
  <x:c r="CS15" i="9"/>
  <x:c r="BQ16" i="9"/>
  <x:c r="CS16" i="9"/>
  <x:c r="BQ17" i="9"/>
  <x:c r="CS17" i="9"/>
  <x:c r="BQ18" i="9"/>
  <x:c r="BQ19" i="9"/>
  <x:c r="CS19" i="9"/>
  <x:c r="BQ20" i="9"/>
  <x:c r="CA20" i="9"/>
  <x:c r="CS20" i="9"/>
  <x:c r="BQ21" i="9"/>
  <x:c r="CS21" i="9"/>
  <x:c r="BQ22" i="9"/>
  <x:c r="CS22" i="9"/>
  <x:c r="BQ23" i="9"/>
  <x:c r="CS23" i="9"/>
  <x:c r="BQ24" i="9"/>
  <x:c r="CA24" i="9"/>
  <x:c r="BQ25" i="9"/>
  <x:c r="CS25" i="9"/>
  <x:c r="BQ26" i="9"/>
  <x:c r="CS26" i="9"/>
  <x:c r="BQ27" i="9"/>
  <x:c r="CS27" i="9"/>
  <x:c r="BQ28" i="9"/>
  <x:c r="CA28" i="9"/>
  <x:c r="BQ29" i="9"/>
  <x:c r="CS29" i="9"/>
  <x:c r="BQ30" i="9"/>
  <x:c r="BQ31" i="9"/>
  <x:c r="CS31" i="9"/>
  <x:c r="BQ32" i="9"/>
  <x:c r="CA32" i="9"/>
  <x:c r="BQ33" i="9"/>
  <x:c r="CS33" i="9"/>
  <x:c r="BQ34" i="9"/>
  <x:c r="CS34" i="9"/>
  <x:c r="BQ35" i="9"/>
  <x:c r="BQ36" i="9"/>
  <x:c r="CS36" i="9"/>
  <x:c r="BQ37" i="9"/>
  <x:c r="CS37" i="9"/>
  <x:c r="BQ40" i="9"/>
</x: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<x:sst xmlns:x="http://schemas.openxmlformats.org/spreadsheetml/2006/main">
  <x:si>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r>
      <x:rPr>
        <x:b/>
        <x:vertAlign val="baseline"/>
        <x:sz val="16"/>
        <x:color theme="1"/>
        <x:rFont val="맑은 고딕"/>
        <x:family val="3"/>
      </x:rPr>
      <x:t>■ ACTUATOR (1/2)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</x:si>
  <x:si>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ACTUATOR (2/2)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</x:si>
  <x:si>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HANDLE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</x:si>
  <x:si>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시리즈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</x:si>
  <x:si>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</x:si>
  <x:si>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</x:si>
  <x:si>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시리즈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</x:si>
  <x:si>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</x:si>
  <x:si>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</x:si>
  <x:si>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</x:si>
  <x:si>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</x:si>
  <x:si>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Act Size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</x:si>
  <x:si>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Model No.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</x:si>
  <x:si>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Painting Color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</x:si>
  <x:si>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Painting 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</x:si>
  <x:si>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Actuator Type (2)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</x:si>
  <x:si>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Act Series</x:t>
    </x:r>
    <x:phoneticPr fontId="0" type="noConversion"/>
  </x:si>
  <x:si>
    <x:t>Action Type</x:t>
  </x:si>
  <x:si>
    <x:t>Fail Position</x:t>
  </x:si>
  <x:si>
    <x:r>
      <x:rPr>
        <x:b/>
        <x:vertAlign val="baseline"/>
        <x:sz val="11"/>
        <x:color theme="1"/>
        <x:rFont val="맑은 고딕"/>
        <x:family val="3"/>
      </x:rPr>
      <x:t>CLOSE AT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</x:si>
  <x:si>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OPEN AT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</x:si>
  <x:si>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Actuator Type (1)</x:t>
    </x:r>
    <x:phoneticPr fontId="0" type="noConversion"/>
  </x:si>
  <x:si>
    <x:t>H.W</x:t>
  </x:si>
  <x:si>
    <x:t>Type / Location</x:t>
  </x:si>
  <x:si>
    <x:t>Painting Color (RAL No.)</x:t>
  </x:si>
  <x:si>
    <x:t>Painting Type</x:t>
  </x:si>
  <x:si>
    <x:r>
      <x:rPr>
        <x:b/>
        <x:vertAlign val="baseline"/>
        <x:sz val="11"/>
        <x:color theme="1"/>
        <x:rFont val="맑은 고딕"/>
        <x:family val="3"/>
      </x:rPr>
      <x:t xml:space="preserve">A 시리즈
[PROVAL]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</x:si>
  <x:si>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A-220M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</x:si>
  <x:si>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A-220M</x:t>
    </x:r>
    <x:phoneticPr fontId="0" type="noConversion"/>
  </x:si>
  <x:si>
    <x:t>Diaphragm</x:t>
  </x:si>
  <x:si>
    <x:r>
      <x:rPr>
        <x:b/>
        <x:vertAlign val="baseline"/>
        <x:sz val="11"/>
        <x:color theme="1"/>
        <x:rFont val="맑은 고딕"/>
        <x:family val="3"/>
      </x:rPr>
      <x:t xml:space="preserve">A 시리즈
[PROVAL]</x:t>
    </x:r>
    <x:phoneticPr fontId="0" type="noConversion"/>
  </x:si>
  <x:si>
    <x:r>
      <x:rPr>
        <x:vertAlign val="baseline"/>
        <x:sz val="11"/>
        <x:color rgb="FF000000"/>
        <x:rFont val="맑은 고딕"/>
        <x:family val="3"/>
      </x:rPr>
      <x:t>A시리즈</x:t>
    </x:r>
    <x:phoneticPr fontId="0" type="noConversion"/>
  </x:si>
  <x:si>
    <x:t>RA (Close)</x:t>
  </x:si>
  <x:si>
    <x:t>Close</x:t>
  </x:si>
  <x:si>
    <x:t>Single Acting</x:t>
  </x:si>
  <x:si>
    <x:r>
      <x:rPr>
        <x:vertAlign val="baseline"/>
        <x:sz val="11"/>
        <x:color rgb="FF000000"/>
        <x:rFont val="맑은 고딕"/>
        <x:family val="3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</x:si>
  <x:si>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</x:si>
  <x:si>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</x:si>
  <x:si>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</x:si>
  <x:si>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A-270M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</x:si>
  <x:si>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A-270M</x:t>
    </x:r>
    <x:phoneticPr fontId="0" type="noConversion"/>
  </x:si>
  <x:si>
    <x:t>RAL 5019</x:t>
  </x:si>
  <x:si>
    <x:t>Polyurethane</x:t>
  </x:si>
  <x:si>
    <x:t>A시리즈</x:t>
  </x:si>
  <x:si>
    <x:r>
      <x:rPr>
        <x:vertAlign val="baseline"/>
        <x:sz val="11"/>
        <x:color theme="1"/>
        <x:rFont val="맑은 고딕"/>
        <x:family val="2"/>
      </x:rPr>
      <x:t>DA (Open)</x:t>
    </x:r>
    <x:phoneticPr fontId="0" type="noConversion"/>
  </x:si>
  <x:si>
    <x:t>Open</x:t>
  </x:si>
  <x:si>
    <x:t>Screwed</x:t>
  </x:si>
  <x:si>
    <x:t>RAL 9011</x:t>
  </x:si>
  <x:si>
    <x:r>
      <x:rPr>
        <x:vertAlign val="baseline"/>
        <x:sz val="11"/>
        <x:color theme="1"/>
        <x:rFont val="맑은 고딕"/>
        <x:family val="2"/>
      </x:rPr>
      <x:t>A-360M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</x:si>
  <x:si>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A-360M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</x:si>
  <x:si>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</x:si>
  <x:si>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Double Acting</x:t>
  </x:si>
  <x:si>
    <x:r>
      <x:rPr>
        <x:vertAlign val="baseline"/>
        <x:sz val="11"/>
        <x:color rgb="FF000000"/>
        <x:rFont val="맑은 고딕"/>
        <x:family val="3"/>
      </x:rPr>
      <x:t>Screwed / Top</x:t>
    </x:r>
    <x:phoneticPr fontId="0" type="noConversion"/>
  </x:si>
  <x:si>
    <x:t>Screwed / Top</x:t>
  </x:si>
  <x:si>
    <x:t>A-430M</x:t>
  </x:si>
  <x:si>
    <x:r>
      <x:rPr>
        <x:vertAlign val="baseline"/>
        <x:sz val="11"/>
        <x:color theme="1"/>
        <x:rFont val="맑은 고딕"/>
        <x:family val="2"/>
      </x:rPr>
      <x:t>A-430M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</x:si>
  <x:si>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</x:si>
  <x:si>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Screwed / Side</x:t>
  </x:si>
  <x:si>
    <x:r>
      <x:rPr>
        <x:vertAlign val="baseline"/>
        <x:sz val="11"/>
        <x:color theme="1"/>
        <x:rFont val="맑은 고딕"/>
        <x:family val="2"/>
      </x:rPr>
      <x:t>Screwed / Side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</x:si>
  <x:si>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RAL 9011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</x:si>
  <x:si>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Polyurethane</x:t>
    </x:r>
    <x:phoneticPr fontId="0" type="noConversion"/>
  </x:si>
  <x:si>
    <x:t>A-520M</x:t>
  </x:si>
  <x:si>
    <x:r>
      <x:rPr>
        <x:vertAlign val="baseline"/>
        <x:sz val="11"/>
        <x:color theme="1"/>
        <x:rFont val="맑은 고딕"/>
        <x:family val="2"/>
      </x:rPr>
      <x:t>A-520M</x:t>
    </x:r>
    <x:phoneticPr fontId="0" type="noConversion"/>
  </x:si>
  <x:si>
    <x:t>B시리즈</x:t>
  </x:si>
  <x:si>
    <x:r>
      <x:rPr>
        <x:vertAlign val="baseline"/>
        <x:sz val="11"/>
        <x:color theme="1"/>
        <x:rFont val="맑은 고딕"/>
        <x:family val="2"/>
      </x:rPr>
      <x:t>Close</x:t>
    </x:r>
    <x:phoneticPr fontId="0" type="noConversion"/>
  </x:si>
  <x:si>
    <x:t>Worm-Gear-Top</x:t>
  </x:si>
  <x:si>
    <x:r>
      <x:rPr>
        <x:vertAlign val="baseline"/>
        <x:sz val="11"/>
        <x:color theme="1"/>
        <x:rFont val="맑은 고딕"/>
        <x:family val="2"/>
      </x:rPr>
      <x:t>Worm-Gear / Top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</x:si>
  <x:si>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B1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</x:si>
  <x:si>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B1S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</x:si>
  <x:si>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RAL 9011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</x:si>
  <x:si>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PX8576(S) -BLACK(AB-1)</x:t>
    </x:r>
    <x:phoneticPr fontId="0" type="noConversion"/>
  </x:si>
  <x:si>
    <x:t>Cylinder</x:t>
  </x:si>
  <x:si>
    <x:t>DA (Open)</x:t>
  </x:si>
  <x:si>
    <x:r>
      <x:rPr>
        <x:vertAlign val="baseline"/>
        <x:sz val="11"/>
        <x:color theme="1"/>
        <x:rFont val="맑은 고딕"/>
        <x:family val="2"/>
      </x:rPr>
      <x:t>Open</x:t>
    </x:r>
    <x:phoneticPr fontId="0" type="noConversion"/>
  </x:si>
  <x:si>
    <x:t>Worm-Gear-Side</x:t>
  </x:si>
  <x:si>
    <x:t>Worm-Gear / Side</x:t>
  </x:si>
  <x:si>
    <x:t>B2</x:t>
  </x:si>
  <x:si>
    <x:r>
      <x:rPr>
        <x:vertAlign val="baseline"/>
        <x:sz val="11"/>
        <x:color theme="1"/>
        <x:rFont val="맑은 고딕"/>
        <x:family val="2"/>
      </x:rPr>
      <x:t>B2S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</x:si>
  <x:si>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RAL 9011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</x:si>
  <x:si>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Polyurethane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</x:si>
  <x:si>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</x:si>
  <x:si>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Last</x:t>
  </x:si>
  <x:si>
    <x:t>Declutchable</x:t>
  </x:si>
  <x:si>
    <x:r>
      <x:rPr>
        <x:vertAlign val="baseline"/>
        <x:sz val="11"/>
        <x:color theme="1"/>
        <x:rFont val="맑은 고딕"/>
        <x:family val="2"/>
      </x:rPr>
      <x:t>Declutchable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</x:si>
  <x:si>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RAL 9011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</x:si>
  <x:si>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Polyurethane</x:t>
    </x:r>
    <x:phoneticPr fontId="0" type="noConversion"/>
  </x:si>
  <x:si>
    <x:t>B3</x:t>
  </x:si>
  <x:si>
    <x:r>
      <x:rPr>
        <x:vertAlign val="baseline"/>
        <x:sz val="11"/>
        <x:color theme="1"/>
        <x:rFont val="맑은 고딕"/>
        <x:family val="2"/>
      </x:rPr>
      <x:t>B3S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</x:si>
  <x:si>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RAL 5019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</x:si>
  <x:si>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</x:si>
  <x:si>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SPECIAL</x:t>
  </x:si>
  <x:si>
    <x:t>B4</x:t>
  </x:si>
  <x:si>
    <x:t>B4S</x:t>
  </x:si>
  <x:si>
    <x:t>C시리즈</x:t>
  </x:si>
  <x:si>
    <x:t>B5</x:t>
  </x:si>
  <x:si>
    <x:r>
      <x:rPr>
        <x:vertAlign val="baseline"/>
        <x:sz val="11"/>
        <x:color theme="1"/>
        <x:rFont val="맑은 고딕"/>
        <x:family val="2"/>
      </x:rPr>
      <x:t>B5S</x:t>
    </x:r>
    <x:phoneticPr fontId="0" type="noConversion"/>
  </x:si>
  <x:si>
    <x:t>B6</x:t>
  </x:si>
  <x:si>
    <x:t>B6S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</x:si>
  <x:si>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</x:si>
  <x:si>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C-160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</x:si>
  <x:si>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</x:si>
  <x:si>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C-200</x:t>
  </x:si>
  <x:si>
    <x:r>
      <x:rPr>
        <x:vertAlign val="baseline"/>
        <x:sz val="11"/>
        <x:color theme="1"/>
        <x:rFont val="맑은 고딕"/>
        <x:family val="2"/>
      </x:rPr>
      <x:t>C-200</x:t>
    </x:r>
    <x:phoneticPr fontId="0" type="noConversion"/>
  </x:si>
  <x:si>
    <x:t>DB시리즈</x:t>
  </x:si>
  <x:si>
    <x:t>C-250</x:t>
  </x:si>
  <x:si>
    <x:r>
      <x:rPr>
        <x:vertAlign val="baseline"/>
        <x:sz val="11"/>
        <x:color theme="1"/>
        <x:rFont val="맑은 고딕"/>
        <x:family val="2"/>
      </x:rPr>
      <x:t>Open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</x:si>
  <x:si>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C-300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</x:si>
  <x:si>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C-300S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</x:si>
  <x:si>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</x:si>
  <x:si>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C-350</x:t>
  </x:si>
  <x:si>
    <x:t>C-350S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</x:si>
  <x:si>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</x:si>
  <x:si>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C-400</x:t>
  </x:si>
  <x:si>
    <x:t>C-400S</x:t>
  </x:si>
  <x:si>
    <x:t>CB시리즈</x:t>
  </x:si>
  <x:si>
    <x:t>C-450</x:t>
  </x:si>
  <x:si>
    <x:t>C-450S</x:t>
  </x:si>
  <x:si>
    <x:r>
      <x:rPr>
        <x:vertAlign val="baseline"/>
        <x:sz val="11"/>
        <x:color theme="1"/>
        <x:rFont val="맑은 고딕"/>
        <x:family val="2"/>
      </x:rPr>
      <x:t>Open</x:t>
    </x:r>
    <x:phoneticPr fontId="0" type="noConversion"/>
  </x:si>
  <x:si>
    <x:t>C-500</x:t>
  </x:si>
  <x:si>
    <x:t>C-500S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</x:si>
  <x:si>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</x:si>
  <x:si>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DB-270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</x:si>
  <x:si>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</x:si>
  <x:si>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DB-360</x:t>
  </x:si>
  <x:si>
    <x:t>Float</x:t>
  </x:si>
  <x:si>
    <x:t>Low Level</x:t>
  </x:si>
  <x:si>
    <x:t>High Level</x:t>
  </x:si>
  <x:si>
    <x:t>Levered</x:t>
  </x:si>
  <x:si>
    <x:t>DB-430</x:t>
  </x:si>
  <x:si>
    <x:t>DB-520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</x:si>
  <x:si>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</x:si>
  <x:si>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CB-270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</x:si>
  <x:si>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</x:si>
  <x:si>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CB-360</x:t>
  </x:si>
  <x:si>
    <x:t>(HKC)HP시리즈</x:t>
  </x:si>
  <x:si>
    <x:t>CB-430</x:t>
  </x:si>
  <x:si>
    <x:t>CB-520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</x:si>
  <x:si>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</x:si>
  <x:si>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Close / Last</x:t>
  </x:si>
  <x:si>
    <x:r>
      <x:rPr>
        <x:vertAlign val="baseline"/>
        <x:sz val="11"/>
        <x:color theme="1"/>
        <x:rFont val="맑은 고딕"/>
        <x:family val="2"/>
      </x:rPr>
      <x:t>25A용</x:t>
    </x:r>
    <x:phoneticPr fontId="0" type="noConversion"/>
  </x:si>
  <x:si>
    <x:t>YAF</x:t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</x:si>
  <x:si>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</x:si>
  <x:si>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</x:si>
  <x:si>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</x:si>
  <x:si>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40-50A용</x:t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</x:si>
  <x:si>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</x:si>
  <x:si>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</x:si>
  <x:si>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t>(성원)PM시리즈</x:t>
  </x:si>
  <x:si>
    <x:t>HP-88 (B1)</x:t>
  </x:si>
  <x:si>
    <x:t>B1S</x:t>
  </x:si>
  <x:si>
    <x:t>PX8576(S) -BLACK(AB-1)</x:t>
  </x:si>
  <x:si>
    <x:t>HP-100 (B2)</x:t>
  </x:si>
  <x:si>
    <x:t>B2SR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</x:si>
  <x:si>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</x:si>
  <x:si>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HP-125 (B4)</x:t>
  </x:si>
  <x:si>
    <x:t>B4SR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</x:si>
  <x:si>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</x:si>
  <x:si>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HP-66 (B0)</x:t>
  </x:si>
  <x:si>
    <x:r>
      <x:rPr>
        <x:vertAlign val="baseline"/>
        <x:sz val="11"/>
        <x:color theme="1"/>
        <x:rFont val="맑은 고딕"/>
        <x:family val="2"/>
      </x:rPr>
      <x:t>B0SR</x:t>
    </x:r>
    <x:phoneticPr fontId="0" type="noConversion"/>
  </x:si>
  <x:si>
    <x:t>R시리즈</x:t>
  </x:si>
  <x:si>
    <x:t>HP-115(B3)</x:t>
  </x:si>
  <x:si>
    <x:r>
      <x:rPr>
        <x:vertAlign val="baseline"/>
        <x:sz val="11"/>
        <x:color theme="1"/>
        <x:rFont val="맑은 고딕"/>
        <x:family val="2"/>
      </x:rPr>
      <x:t>B3SR</x:t>
    </x:r>
    <x:phoneticPr fontId="0" type="noConversion"/>
  </x:si>
  <x:si>
    <x:t>HP-145 (B6)</x:t>
  </x:si>
  <x:si>
    <x:t>B6SR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</x:si>
  <x:si>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</x:si>
  <x:si>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HP-160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</x:si>
  <x:si>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</x:si>
  <x:si>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HP-200</x:t>
  </x:si>
  <x:si>
    <x:t>C V/T시리즈</x:t>
  </x:si>
  <x:si>
    <x:t>PM-S065 (B1)</x:t>
  </x:si>
  <x:si>
    <x:t>B1SR</x:t>
  </x:si>
  <x:si>
    <x:t>PM-S080 (B2)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</x:si>
  <x:si>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</x:si>
  <x:si>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PM-S100 (B3)</x:t>
  </x:si>
  <x:si>
    <x:t>B3SR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</x:si>
  <x:si>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</x:si>
  <x:si>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PM-S125 (B4)</x:t>
  </x:si>
  <x:si>
    <x:t>R V/T시리즈</x:t>
  </x:si>
  <x:si>
    <x:t>PM-S140 (B5)</x:t>
  </x:si>
  <x:si>
    <x:r>
      <x:rPr>
        <x:vertAlign val="baseline"/>
        <x:sz val="11"/>
        <x:color theme="1"/>
        <x:rFont val="맑은 고딕"/>
        <x:family val="2"/>
      </x:rPr>
      <x:t>B5SR</x:t>
    </x:r>
    <x:phoneticPr fontId="0" type="noConversion"/>
  </x:si>
  <x:si>
    <x:t>PM-S160 (B6)</x:t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</x:si>
  <x:si>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</x:si>
  <x:si>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R6</x:t>
  </x:si>
  <x:si>
    <x:r>
      <x:rPr>
        <x:vertAlign val="baseline"/>
        <x:sz val="11"/>
        <x:color theme="1"/>
        <x:rFont val="맑은 고딕"/>
        <x:family val="2"/>
      </x:rPr>
      <x:t>R6S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</x:si>
  <x:si>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RAL 5019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</x:si>
  <x:si>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Polyurethane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</x:si>
  <x:si>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</x:si>
  <x:si>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R7</x:t>
  </x:si>
  <x:si>
    <x:t>Scoth-York / R7SD</x:t>
  </x:si>
  <x:si>
    <x:r>
      <x:rPr>
        <x:b/>
        <x:vertAlign val="baseline"/>
        <x:sz val="11"/>
        <x:color theme="1"/>
        <x:rFont val="맑은 고딕"/>
        <x:family val="3"/>
      </x:rPr>
      <x:t>SPECIAL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</x:si>
  <x:si>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</x:si>
  <x:si>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R8</x:t>
  </x:si>
  <x:si>
    <x:t>R8SR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</x:si>
  <x:si>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</x:si>
  <x:si>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R9</x:t>
  </x:si>
  <x:si>
    <x:t>R9SR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</x:si>
  <x:si>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</x:si>
  <x:si>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Double</x:t>
    </x:r>
    <x:phoneticPr fontId="0" type="noConversion"/>
  </x:si>
  <x:si>
    <x:t>R10</x:t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</x:si>
  <x:si>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</x:si>
  <x:si>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</x:si>
  <x:si>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t>R11</x:t>
  </x:si>
  <x:si>
    <x:t>R12</x:t>
  </x:si>
  <x:si>
    <x:t>R12SD</x:t>
  </x:si>
  <x:si>
    <x:t>R13</x:t>
  </x:si>
  <x:si>
    <x:t>R14</x:t>
  </x:si>
  <x:si>
    <x:t>R15</x:t>
  </x:si>
  <x:si>
    <x:t>C-160 + V/T</x:t>
  </x:si>
  <x:si>
    <x:t>C-200 + V/T</x:t>
  </x:si>
  <x:si>
    <x:t>C-250 + V/T</x:t>
  </x:si>
  <x:si>
    <x:t>C-300 + V/T</x:t>
  </x:si>
  <x:si>
    <x:t>C-350 + V/T</x:t>
  </x:si>
  <x:si>
    <x:t>C-400 + V/T</x:t>
  </x:si>
  <x:si>
    <x:t>C-450 + V/T</x:t>
  </x:si>
  <x:si>
    <x:t>C-500 + V/T</x:t>
  </x:si>
  <x:si>
    <x:t>R6 + V/T</x:t>
  </x:si>
  <x:si>
    <x:t>R7 + V/T</x:t>
  </x:si>
  <x:si>
    <x:t>R7S + V/T</x:t>
  </x:si>
  <x:si>
    <x:t>R8 + V/T</x:t>
  </x:si>
  <x:si>
    <x:t>R9 + V/T</x:t>
  </x:si>
  <x:si>
    <x:t>R10 + V/T</x:t>
  </x:si>
  <x:si>
    <x:t>R11 + V/T</x:t>
  </x:si>
  <x:si>
    <x:t>R12 + V/T</x:t>
  </x:si>
  <x:si>
    <x:t>R13 + V/T</x:t>
  </x:si>
  <x:si>
    <x:t>R14 + V/T</x:t>
  </x:si>
  <x:si>
    <x:t>R15 + V/T</x:t>
  </x:si>
  <x:si>
    <x:r>
      <x:rPr>
        <x:b/>
        <x:vertAlign val="baseline"/>
        <x:sz val="11"/>
        <x:color theme="1"/>
        <x:rFont val="맑은 고딕"/>
        <x:family val="3"/>
      </x:rPr>
      <x:t>SPECIAL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</x:si>
  <x:si>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SPECIAL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</x:si>
  <x:si>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POSITIONER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</x:si>
  <x:si>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AIR-SET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</x:si>
  <x:si>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SOLENOID VALVE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</x:si>
  <x:si>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LIMIT SWITCH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</x:si>
  <x:si>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LOCKUP VALVE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</x:si>
  <x:si>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SNAP-ACTING RELAY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</x:si>
  <x:si>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AIR OPERATED VALVE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</x:si>
  <x:si>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</x:rPr>
      <x:t>■ VOLUME BOOSTER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</x:si>
  <x:si>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</x:si>
  <x:si>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 (POSITIONER)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</x:si>
  <x:si>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 (TRANSMITTER)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</x:si>
  <x:si>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</x:si>
  <x:si>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</x:si>
  <x:si>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</x:si>
  <x:si>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</x:si>
  <x:si>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</x:si>
  <x:si>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</x:si>
  <x:si>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</x:si>
  <x:si>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</x:si>
  <x:si>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</x:si>
  <x:si>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</x:si>
  <x:si>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</x:si>
  <x:si>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</x:si>
  <x:si>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입력값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</x:si>
  <x:si>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출력값</x:t>
    </x:r>
    <x:phoneticPr fontId="0" type="noConversion"/>
  </x:si>
  <x:si>
    <x:t>Positioner</x:t>
  </x:si>
  <x:si>
    <x:r>
      <x:rPr>
        <x:b/>
        <x:vertAlign val="baseline"/>
        <x:sz val="11"/>
        <x:color theme="1"/>
        <x:rFont val="맑은 고딕"/>
        <x:family val="3"/>
      </x:rPr>
      <x:t>Input Signal (mA DC)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</x:si>
  <x:si>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</x:si>
  <x:si>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Enclosure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</x:si>
  <x:si>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Model No.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</x:si>
  <x:si>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MFG.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</x:si>
  <x:si>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Output (mA DC)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</x:si>
  <x:si>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</x:si>
  <x:si>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</x:si>
  <x:si>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Supply Setting Pressure (bar G)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</x:si>
  <x:si>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Model No.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</x:si>
  <x:si>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MFG.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</x:si>
  <x:si>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</x:si>
  <x:si>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Power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</x:si>
  <x:si>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</x:si>
  <x:si>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Enclosure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</x:si>
  <x:si>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Model No.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</x:si>
  <x:si>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MFG.</x:t>
    </x:r>
    <x:phoneticPr fontId="0" type="noConversion"/>
  </x:si>
  <x:si>
    <x:t>Limit Switch</x:t>
  </x:si>
  <x:si>
    <x:r>
      <x:rPr>
        <x:b/>
        <x:vertAlign val="baseline"/>
        <x:sz val="11"/>
        <x:color theme="1"/>
        <x:rFont val="맑은 고딕"/>
        <x:family val="3"/>
      </x:rPr>
      <x:t>Quantity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</x:si>
  <x:si>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</x:si>
  <x:si>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Enclosure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</x:si>
  <x:si>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Model No.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</x:si>
  <x:si>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MFG.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</x:si>
  <x:si>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Lockup valve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</x:si>
  <x:si>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Setting Pressure (bar G)</x:t>
    </x:r>
    <x:phoneticPr fontId="0" type="noConversion"/>
  </x:si>
  <x:si>
    <x:t>Model No.</x:t>
  </x:si>
  <x:si>
    <x:r>
      <x:rPr>
        <x:b/>
        <x:vertAlign val="baseline"/>
        <x:sz val="11"/>
        <x:color theme="1"/>
        <x:rFont val="맑은 고딕"/>
        <x:family val="3"/>
      </x:rPr>
      <x:t>SNAP-ACTING RELAY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</x:si>
  <x:si>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Setting Pressure (bar G)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</x:si>
  <x:si>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Air Operated Valve</x:t>
    </x:r>
    <x:phoneticPr fontId="0" type="noConversion"/>
  </x:si>
  <x:si>
    <x:t>Volume booster</x:t>
  </x:si>
  <x:si>
    <x:t>AVP300-HSD3D-XXXX-X</x:t>
  </x:si>
  <x:si>
    <x:r>
      <x:rPr>
        <x:vertAlign val="baseline"/>
        <x:sz val="11"/>
        <x:color theme="1"/>
        <x:rFont val="맑은 고딕"/>
        <x:family val="2"/>
      </x:rPr>
      <x:t>4 ~ 20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</x:si>
  <x:si>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Smart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</x:si>
  <x:si>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ExdIICT6</x:t>
    </x:r>
    <x:phoneticPr fontId="0" type="noConversion"/>
  </x:si>
  <x:si>
    <x:t>AVP-300</x:t>
  </x:si>
  <x:si>
    <x:t>Azbil</x:t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</x:si>
  <x:si>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</x:si>
  <x:si>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</x:si>
  <x:si>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AR-1501NS0(TS300)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</x:si>
  <x:si>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AR-1501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</x:si>
  <x:si>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Proval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</x:si>
  <x:si>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4F310-08-TP-X-DC24V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</x:si>
  <x:si>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DC24V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</x:si>
  <x:si>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5-Way</x:t>
    </x:r>
    <x:phoneticPr fontId="0" type="noConversion"/>
  </x:si>
  <x:si>
    <x:t>IP-66</x:t>
  </x:si>
  <x:si>
    <x:r>
      <x:rPr>
        <x:vertAlign val="baseline"/>
        <x:sz val="11"/>
        <x:color theme="1"/>
        <x:rFont val="맑은 고딕"/>
        <x:family val="3"/>
      </x:rPr>
      <x:t>4F310E-08</x:t>
    </x:r>
    <x:phoneticPr fontId="0" type="noConversion"/>
  </x:si>
  <x:si>
    <x:t>CKD</x:t>
  </x:si>
  <x:si>
    <x:r>
      <x:rPr>
        <x:b/>
        <x:vertAlign val="baseline"/>
        <x:sz val="11"/>
        <x:color theme="1"/>
        <x:rFont val="맑은 고딕"/>
        <x:family val="3"/>
      </x:rPr>
      <x:t>APL-210N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</x:si>
  <x:si>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Close/Open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</x:si>
  <x:si>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SPDT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</x:si>
  <x:si>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</x:si>
  <x:si>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APL-210N</x:t>
    </x:r>
    <x:phoneticPr fontId="0" type="noConversion"/>
  </x:si>
  <x:si>
    <x:t>HKC</x:t>
  </x:si>
  <x:si>
    <x:r>
      <x:rPr>
        <x:b/>
        <x:vertAlign val="baseline"/>
        <x:sz val="11"/>
        <x:color theme="1"/>
        <x:rFont val="맑은 고딕"/>
        <x:family val="3"/>
      </x:rPr>
      <x:t>LV-2000DNS(TS200)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</x:si>
  <x:si>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</x:si>
  <x:si>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LV-2000D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</x:si>
  <x:si>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SAR25D(TS250)</x:t>
    </x:r>
    <x:phoneticPr fontId="0" type="noConversion"/>
  </x:si>
  <x:si>
    <x:t>SAR25D</x:t>
  </x:si>
  <x:si>
    <x:r>
      <x:rPr>
        <x:b/>
        <x:vertAlign val="baseline"/>
        <x:sz val="11"/>
        <x:color theme="1"/>
        <x:rFont val="맑은 고딕"/>
        <x:family val="3"/>
      </x:rPr>
      <x:t>SFP4313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</x:si>
  <x:si>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SFP4313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</x:si>
  <x:si>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VB-1000NS(TS100)</x:t>
    </x:r>
    <x:phoneticPr fontId="0" type="noConversion"/>
  </x:si>
  <x:si>
    <x:t>VB-1000</x:t>
  </x:si>
  <x:si>
    <x:r>
      <x:rPr>
        <x:b/>
        <x:vertAlign val="baseline"/>
        <x:sz val="11"/>
        <x:color theme="1"/>
        <x:rFont val="맑은 고딕"/>
        <x:family val="3"/>
      </x:rPr>
      <x:t>AVP302-HSD3D-XXXX-X</x:t>
    </x:r>
    <x:phoneticPr fontId="0" type="noConversion"/>
  </x:si>
  <x:si>
    <x:t>4 ~ 20</x:t>
  </x:si>
  <x:si>
    <x:r>
      <x:rPr>
        <x:vertAlign val="baseline"/>
        <x:sz val="11"/>
        <x:color theme="1"/>
        <x:rFont val="맑은 고딕"/>
        <x:family val="3"/>
      </x:rPr>
      <x:t>Smart-Hart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</x:si>
  <x:si>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</x:si>
  <x:si>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AVP-302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</x:si>
  <x:si>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</x:si>
  <x:si>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</x:si>
  <x:si>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AR-1501PS0(TS300)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</x:si>
  <x:si>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AR-1501</x:t>
    </x:r>
    <x:phoneticPr fontId="0" type="noConversion"/>
  </x:si>
  <x:si>
    <x:t>Proval</x:t>
  </x:si>
  <x:si>
    <x:t>4F310-10-B-DC24V</x:t>
  </x:si>
  <x:si>
    <x:r>
      <x:rPr>
        <x:vertAlign val="baseline"/>
        <x:sz val="11"/>
        <x:color theme="1"/>
        <x:rFont val="맑은 고딕"/>
        <x:family val="3"/>
      </x:rPr>
      <x:t>DC24V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</x:si>
  <x:si>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3-Way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</x:si>
  <x:si>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4F310-10-B</x:t>
    </x:r>
    <x:phoneticPr fontId="0" type="noConversion"/>
  </x:si>
  <x:si>
    <x:t>APL-312N</x:t>
  </x:si>
  <x:si>
    <x:t>Close/Open</x:t>
  </x:si>
  <x:si>
    <x:t>4SPDT</x:t>
  </x:si>
  <x:si>
    <x:r>
      <x:rPr>
        <x:b/>
        <x:vertAlign val="baseline"/>
        <x:sz val="11"/>
        <x:color theme="1"/>
        <x:rFont val="맑은 고딕"/>
        <x:family val="3"/>
      </x:rPr>
      <x:t>LV-2000SNS(TS200)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</x:si>
  <x:si>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LV-2000S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</x:si>
  <x:si>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SFP6313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</x:si>
  <x:si>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SFP6313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</x:si>
  <x:si>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VB-1000PS(TS100)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</x:si>
  <x:si>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EP-6000LN12S0(TS600)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</x:si>
  <x:si>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4 ~ 20</x:t>
    </x:r>
    <x:phoneticPr fontId="0" type="noConversion"/>
  </x:si>
  <x:si>
    <x:t>Conventional</x:t>
  </x:si>
  <x:si>
    <x:t>EP-6000</x:t>
  </x:si>
  <x:si>
    <x:r>
      <x:rPr>
        <x:vertAlign val="baseline"/>
        <x:sz val="11"/>
        <x:color theme="1"/>
        <x:rFont val="맑은 고딕"/>
        <x:family val="2"/>
      </x:rPr>
      <x:t>Proval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</x:si>
  <x:si>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</x:si>
  <x:si>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</x:si>
  <x:si>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AR-2501NS0(TS310)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</x:si>
  <x:si>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AR-2501</x:t>
    </x:r>
    <x:phoneticPr fontId="0" type="noConversion"/>
  </x:si>
  <x:si>
    <x:t>4F310E-08-TP-X-AC110V</x:t>
  </x:si>
  <x:si>
    <x:r>
      <x:rPr>
        <x:vertAlign val="baseline"/>
        <x:sz val="11"/>
        <x:color theme="1"/>
        <x:rFont val="맑은 고딕"/>
        <x:family val="3"/>
      </x:rPr>
      <x:t>AC110V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</x:si>
  <x:si>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5-Way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</x:si>
  <x:si>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ExdIIBT4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</x:si>
  <x:si>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4F310E-08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</x:si>
  <x:si>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CKD</x:t>
    </x:r>
    <x:phoneticPr fontId="0" type="noConversion"/>
  </x:si>
  <x:si>
    <x:t>APL-314N</x:t>
  </x:si>
  <x:si>
    <x:r>
      <x:rPr>
        <x:vertAlign val="baseline"/>
        <x:sz val="11"/>
        <x:color theme="1"/>
        <x:rFont val="맑은 고딕"/>
        <x:family val="3"/>
      </x:rPr>
      <x:t>Close/Open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</x:si>
  <x:si>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DPDT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</x:si>
  <x:si>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</x:si>
  <x:si>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APL-314N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</x:si>
  <x:si>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LV-2000SPS(TS200)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</x:si>
  <x:si>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LV-2000S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</x:si>
  <x:si>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SV-210M</x:t>
    </x:r>
    <x:phoneticPr fontId="0" type="noConversion"/>
  </x:si>
  <x:si>
    <x:t>SV-210M</x:t>
  </x:si>
  <x:si>
    <x:t>YT-320P-1</x:t>
  </x:si>
  <x:si>
    <x:r>
      <x:rPr>
        <x:b/>
        <x:vertAlign val="baseline"/>
        <x:sz val="11"/>
        <x:color theme="1"/>
        <x:rFont val="맑은 고딕"/>
        <x:family val="3"/>
      </x:rPr>
      <x:t>EP-6100RN11S0</x:t>
    </x:r>
    <x:phoneticPr fontId="0" type="noConversion"/>
  </x:si>
  <x:si>
    <x:t>NEMA 4</x:t>
  </x:si>
  <x:si>
    <x:t>EP-6100</x:t>
  </x:si>
  <x:si>
    <x:r>
      <x:rPr>
        <x:vertAlign val="baseline"/>
        <x:sz val="11"/>
        <x:color theme="1"/>
        <x:rFont val="맑은 고딕"/>
        <x:family val="2"/>
      </x:rPr>
      <x:t>Proval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</x:si>
  <x:si>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AW30-03-A</x:t>
    </x:r>
    <x:phoneticPr fontId="0" type="noConversion"/>
  </x:si>
  <x:si>
    <x:t>AW30-03-A</x:t>
  </x:si>
  <x:si>
    <x:t>4F310E-08-TP-X-DC24V</x:t>
  </x:si>
  <x:si>
    <x:r>
      <x:rPr>
        <x:vertAlign val="baseline"/>
        <x:sz val="11"/>
        <x:color theme="1"/>
        <x:rFont val="맑은 고딕"/>
        <x:family val="3"/>
      </x:rPr>
      <x:t>DC24V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</x:si>
  <x:si>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4-Way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</x:si>
  <x:si>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</x:si>
  <x:si>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t>4F310-08</x:t>
  </x:si>
  <x:si>
    <x:r>
      <x:rPr>
        <x:b/>
        <x:vertAlign val="baseline"/>
        <x:sz val="11"/>
        <x:color theme="1"/>
        <x:rFont val="맑은 고딕"/>
        <x:family val="3"/>
      </x:rPr>
      <x:t>APL-510N</x:t>
    </x:r>
    <x:phoneticPr fontId="0" type="noConversion"/>
  </x:si>
  <x:si>
    <x:t>APL-510N</x:t>
  </x:si>
  <x:si>
    <x:t>SV-310M</x:t>
  </x:si>
  <x:si>
    <x:r>
      <x:rPr>
        <x:vertAlign val="baseline"/>
        <x:sz val="11"/>
        <x:color theme="1"/>
        <x:rFont val="맑은 고딕"/>
        <x:family val="3"/>
      </x:rPr>
      <x:t>3-Way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</x:si>
  <x:si>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IP8100-031-CH-X114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</x:si>
  <x:si>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Conventional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</x:si>
  <x:si>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ExdIIBT5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</x:si>
  <x:si>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IP-8100</x:t>
    </x:r>
    <x:phoneticPr fontId="0" type="noConversion"/>
  </x:si>
  <x:si>
    <x:t>SM</x:t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</x:si>
  <x:si>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</x:si>
  <x:si>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</x:si>
  <x:si>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B7019-2C-M</x:t>
    </x:r>
    <x:phoneticPr fontId="0" type="noConversion"/>
  </x:si>
  <x:si>
    <x:t>B7019-2C-M</x:t>
  </x:si>
  <x:si>
    <x:r>
      <x:rPr>
        <x:b/>
        <x:vertAlign val="baseline"/>
        <x:sz val="11"/>
        <x:color theme="1"/>
        <x:rFont val="맑은 고딕"/>
        <x:family val="3"/>
      </x:rPr>
      <x:t>ESV-S-A110P-F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</x:si>
  <x:si>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AC110V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</x:si>
  <x:si>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5/2-Way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</x:si>
  <x:si>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</x:si>
  <x:si>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ESV-S</x:t>
    </x:r>
    <x:phoneticPr fontId="0" type="noConversion"/>
  </x:si>
  <x:si>
    <x:t>PG</x:t>
  </x:si>
  <x:si>
    <x:t>APL-512N</x:t>
  </x:si>
  <x:si>
    <x:t>ExdIICT6</x:t>
  </x:si>
  <x:si>
    <x:t>SV-410M</x:t>
  </x:si>
  <x:si>
    <x:r>
      <x:rPr>
        <x:b/>
        <x:vertAlign val="baseline"/>
        <x:sz val="11"/>
        <x:color theme="1"/>
        <x:rFont val="맑은 고딕"/>
        <x:family val="3"/>
      </x:rPr>
      <x:t>SP-8000N11S10(TS800)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</x:si>
  <x:si>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Smart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</x:si>
  <x:si>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</x:si>
  <x:si>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t>SP-8000</x:t>
  </x:si>
  <x:si>
    <x:t>2-Wire</x:t>
  </x:si>
  <x:si>
    <x:t>TS300PS0</x:t>
  </x:si>
  <x:si>
    <x:r>
      <x:rPr>
        <x:vertAlign val="baseline"/>
        <x:sz val="11"/>
        <x:color theme="1"/>
        <x:rFont val="맑은 고딕"/>
        <x:family val="3"/>
      </x:rPr>
      <x:t>TS300</x:t>
    </x:r>
    <x:phoneticPr fontId="0" type="noConversion"/>
  </x:si>
  <x:si>
    <x:t>TSC</x:t>
  </x:si>
  <x:si>
    <x:t xml:space="preserve">ESV-S-A220P-F </x:t>
  </x:si>
  <x:si>
    <x:r>
      <x:rPr>
        <x:vertAlign val="baseline"/>
        <x:sz val="11"/>
        <x:color theme="1"/>
        <x:rFont val="맑은 고딕"/>
        <x:family val="3"/>
      </x:rPr>
      <x:t>AC220V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</x:si>
  <x:si>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5/2-Way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</x:si>
  <x:si>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</x:si>
  <x:si>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ESV-S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</x:si>
  <x:si>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PG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</x:si>
  <x:si>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GLAA20A2A</x:t>
    </x:r>
    <x:phoneticPr fontId="0" type="noConversion"/>
  </x:si>
  <x:si>
    <x:t>DPDT</x:t>
  </x:si>
  <x:si>
    <x:t>GLAA20A2A</x:t>
  </x:si>
  <x:si>
    <x:t>Honeywell</x:t>
  </x:si>
  <x:si>
    <x:r>
      <x:rPr>
        <x:b/>
        <x:vertAlign val="baseline"/>
        <x:sz val="11"/>
        <x:color theme="1"/>
        <x:rFont val="맑은 고딕"/>
        <x:family val="3"/>
      </x:rPr>
      <x:t>SP-8000N11S30(TS800)</x:t>
    </x:r>
    <x:phoneticPr fontId="0" type="noConversion"/>
  </x:si>
  <x:si>
    <x:t>Smart-Hart</x:t>
  </x:si>
  <x:si>
    <x:t>YT-200BN020</x:t>
  </x:si>
  <x:si>
    <x:r>
      <x:rPr>
        <x:vertAlign val="baseline"/>
        <x:sz val="11"/>
        <x:color theme="1"/>
        <x:rFont val="맑은 고딕"/>
        <x:family val="3"/>
      </x:rPr>
      <x:t>YT-200-2 (고온용)</x:t>
    </x:r>
    <x:phoneticPr fontId="0" type="noConversion"/>
  </x:si>
  <x:si>
    <x:t>Rotork</x:t>
  </x:si>
  <x:si>
    <x:t>ESV-S-D24P-F</x:t>
  </x:si>
  <x:si>
    <x:t>DC24V</x:t>
  </x:si>
  <x:si>
    <x:t>5/2-Way</x:t>
  </x:si>
  <x:si>
    <x:t>ESV-S</x:t>
  </x:si>
  <x:si>
    <x:t>SLP5130-AL</x:t>
  </x:si>
  <x:si>
    <x:t>SPDT</x:t>
  </x:si>
  <x:si>
    <x:t>Qlight</x:t>
  </x:si>
  <x:si>
    <x:r>
      <x:rPr>
        <x:b/>
        <x:vertAlign val="baseline"/>
        <x:sz val="11"/>
        <x:color theme="1"/>
        <x:rFont val="맑은 고딕"/>
        <x:family val="3"/>
      </x:rPr>
      <x:t>SP-8100N11S30(TS800)</x:t>
    </x:r>
    <x:phoneticPr fontId="0" type="noConversion"/>
  </x:si>
  <x:si>
    <x:t>SP-8100</x:t>
  </x:si>
  <x:si>
    <x:t>YT-200BP010</x:t>
  </x:si>
  <x:si>
    <x:r>
      <x:rPr>
        <x:vertAlign val="baseline"/>
        <x:sz val="11"/>
        <x:color theme="1"/>
        <x:rFont val="맑은 고딕"/>
        <x:family val="3"/>
      </x:rPr>
      <x:t>YT-200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</x:si>
  <x:si>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Rotork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</x:si>
  <x:si>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HKW5020B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</x:si>
  <x:si>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SZL-WLC-B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</x:si>
  <x:si>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1*Close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</x:si>
  <x:si>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SPDT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</x:si>
  <x:si>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</x:si>
  <x:si>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SZL-WLC-B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</x:si>
  <x:si>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TS600LB12S0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</x:si>
  <x:si>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4 ~ 20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</x:si>
  <x:si>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Conventional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</x:si>
  <x:si>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ExdIIBT5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</x:si>
  <x:si>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TS600L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</x:si>
  <x:si>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TSC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</x:si>
  <x:si>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</x:si>
  <x:si>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</x:si>
  <x:si>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YT-200BP020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</x:si>
  <x:si>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YT-200-H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</x:si>
  <x:si>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HKW5020S</x:t>
    </x:r>
    <x:phoneticPr fontId="0" type="noConversion"/>
  </x:si>
  <x:si>
    <x:t>TS400M1S1</x:t>
  </x:si>
  <x:si>
    <x:r>
      <x:rPr>
        <x:vertAlign val="baseline"/>
        <x:sz val="11"/>
        <x:color theme="1"/>
        <x:rFont val="맑은 고딕"/>
        <x:family val="3"/>
      </x:rPr>
      <x:t>Close/Open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</x:si>
  <x:si>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SPDT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</x:si>
  <x:si>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</x:si>
  <x:si>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t>TS-400</x:t>
  </x:si>
  <x:si>
    <x:r>
      <x:rPr>
        <x:b/>
        <x:vertAlign val="baseline"/>
        <x:sz val="11"/>
        <x:color theme="1"/>
        <x:rFont val="맑은 고딕"/>
        <x:family val="3"/>
      </x:rPr>
      <x:t>TS600LC12S0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</x:si>
  <x:si>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Conventional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</x:si>
  <x:si>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ExdIICT5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</x:si>
  <x:si>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TS600LC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</x:si>
  <x:si>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</x:si>
  <x:si>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</x:si>
  <x:si>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t>YT-220BN010</x:t>
  </x:si>
  <x:si>
    <x:r>
      <x:rPr>
        <x:vertAlign val="baseline"/>
        <x:sz val="11"/>
        <x:color theme="1"/>
        <x:rFont val="맑은 고딕"/>
        <x:family val="3"/>
      </x:rPr>
      <x:t>YT-220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</x:si>
  <x:si>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HPW2510B</x:t>
    </x:r>
    <x:phoneticPr fontId="0" type="noConversion"/>
  </x:si>
  <x:si>
    <x:t>TS410MK1S1</x:t>
  </x:si>
  <x:si>
    <x:t>ExdIICT5/T6</x:t>
  </x:si>
  <x:si>
    <x:t>TS-410</x:t>
  </x:si>
  <x:si>
    <x:r>
      <x:rPr>
        <x:b/>
        <x:vertAlign val="baseline"/>
        <x:sz val="11"/>
        <x:color theme="1"/>
        <x:rFont val="맑은 고딕"/>
        <x:family val="3"/>
      </x:rPr>
      <x:t>TS600LN12S1</x:t>
    </x:r>
    <x:phoneticPr fontId="0" type="noConversion"/>
  </x:si>
  <x:si>
    <x:t>TS600L</x:t>
  </x:si>
  <x:si>
    <x:r>
      <x:rPr>
        <x:b/>
        <x:vertAlign val="baseline"/>
        <x:sz val="11"/>
        <x:color theme="1"/>
        <x:rFont val="맑은 고딕"/>
        <x:family val="3"/>
      </x:rPr>
      <x:t>HPW2510SB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</x:si>
  <x:si>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TS600RB11S0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</x:si>
  <x:si>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Conventional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</x:si>
  <x:si>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ExdIIBT5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</x:si>
  <x:si>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TS600R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</x:si>
  <x:si>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</x:si>
  <x:si>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</x:si>
  <x:si>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HPW3212B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</x:si>
  <x:si>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TS600RN11S1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</x:si>
  <x:si>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Conventional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</x:si>
  <x:si>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</x:si>
  <x:si>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TS600RN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</x:si>
  <x:si>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JKB8320G174MO</x:t>
    </x:r>
    <x:phoneticPr fontId="0" type="noConversion"/>
  </x:si>
  <x:si>
    <x:t>AC220V</x:t>
  </x:si>
  <x:si>
    <x:r>
      <x:rPr>
        <x:vertAlign val="baseline"/>
        <x:sz val="11"/>
        <x:color theme="1"/>
        <x:rFont val="맑은 고딕"/>
        <x:family val="3"/>
      </x:rPr>
      <x:t>3-Way, H-Class, Junction Box, Manual Operator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</x:si>
  <x:si>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</x:si>
  <x:si>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JKB8320G174MO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</x:si>
  <x:si>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ASCO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</x:si>
  <x:si>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TS600RC11S0</x:t>
    </x:r>
    <x:phoneticPr fontId="0" type="noConversion"/>
  </x:si>
  <x:si>
    <x:t>TS600R-C</x:t>
  </x:si>
  <x:si>
    <x:t>JKH8320G174M0</x:t>
  </x:si>
  <x:si>
    <x:r>
      <x:rPr>
        <x:vertAlign val="baseline"/>
        <x:sz val="11"/>
        <x:color theme="1"/>
        <x:rFont val="맑은 고딕"/>
        <x:family val="3"/>
      </x:rPr>
      <x:t>DC24V / 2Set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</x:si>
  <x:si>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3-Way, H-Class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</x:si>
  <x:si>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</x:si>
  <x:si>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JKH8320G174MO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</x:si>
  <x:si>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ASCO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</x:si>
  <x:si>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TS700LSN11S10</x:t>
    </x:r>
    <x:phoneticPr fontId="0" type="noConversion"/>
  </x:si>
  <x:si>
    <x:t>Smart, Fail Freeze</x:t>
  </x:si>
  <x:si>
    <x:r>
      <x:rPr>
        <x:vertAlign val="baseline"/>
        <x:sz val="11"/>
        <x:color theme="1"/>
        <x:rFont val="맑은 고딕"/>
        <x:family val="3"/>
      </x:rPr>
      <x:t>TS700L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</x:si>
  <x:si>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MOOU-8AE-12PU-AC110V</x:t>
    </x:r>
    <x:phoneticPr fontId="0" type="noConversion"/>
  </x:si>
  <x:si>
    <x:t>AC110V</x:t>
  </x:si>
  <x:si>
    <x:t>3-Way</x:t>
  </x:si>
  <x:si>
    <x:t>ExdIIBT4</x:t>
  </x:si>
  <x:si>
    <x:t>MOOU-8AE-12PU</x:t>
  </x:si>
  <x:si>
    <x:r>
      <x:rPr>
        <x:vertAlign val="baseline"/>
        <x:sz val="11"/>
        <x:color theme="1"/>
        <x:rFont val="맑은 고딕"/>
        <x:family val="2"/>
      </x:rPr>
      <x:t>KANEKO</x:t>
    </x:r>
    <x:phoneticPr fontId="0" type="noConversion"/>
  </x:si>
  <x:si>
    <x:t>TS800RA11S10</x:t>
  </x:si>
  <x:si>
    <x:r>
      <x:rPr>
        <x:vertAlign val="baseline"/>
        <x:sz val="11"/>
        <x:color theme="1"/>
        <x:rFont val="맑은 고딕"/>
        <x:family val="2"/>
      </x:rPr>
      <x:t>4 ~ 20</x:t>
    </x:r>
    <x:phoneticPr fontId="0" type="noConversion"/>
  </x:si>
  <x:si>
    <x:t>Smart</x:t>
  </x:si>
  <x:si>
    <x:r>
      <x:rPr>
        <x:vertAlign val="baseline"/>
        <x:sz val="11"/>
        <x:color theme="1"/>
        <x:rFont val="맑은 고딕"/>
        <x:family val="3"/>
      </x:rPr>
      <x:t>Exia II CT6</x:t>
    </x:r>
    <x:phoneticPr fontId="0" type="noConversion"/>
  </x:si>
  <x:si>
    <x:t>TS800RA</x:t>
  </x:si>
  <x:si>
    <x:r>
      <x:rPr>
        <x:vertAlign val="baseline"/>
        <x:sz val="11"/>
        <x:color theme="1"/>
        <x:rFont val="맑은 고딕"/>
        <x:family val="2"/>
      </x:rPr>
      <x:t>4 ~ 20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</x:si>
  <x:si>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15~30V DC / 2-Wire</x:t>
    </x:r>
    <x:phoneticPr fontId="0" type="noConversion"/>
  </x:si>
  <x:si>
    <x:t>MOOU-8AE-12PU-AC220V</x:t>
  </x:si>
  <x:si>
    <x:t>KANEKO</x:t>
  </x:si>
  <x:si>
    <x:r>
      <x:rPr>
        <x:b/>
        <x:vertAlign val="baseline"/>
        <x:sz val="11"/>
        <x:color theme="1"/>
        <x:rFont val="맑은 고딕"/>
        <x:family val="3"/>
      </x:rPr>
      <x:t>TS820RA11S01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</x:si>
  <x:si>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Smart, Remote, 5m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</x:si>
  <x:si>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ExiaIICT5/T6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</x:si>
  <x:si>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TS820R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</x:si>
  <x:si>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MOOU-8DE-12PU-DC24V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</x:si>
  <x:si>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DC24V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</x:si>
  <x:si>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MOOU-8DE-12PU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</x:si>
  <x:si>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KANEKO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</x:si>
  <x:si>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TS900LC31S10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</x:si>
  <x:si>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Smart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</x:si>
  <x:si>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</x:si>
  <x:si>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TS900L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</x:si>
  <x:si>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</x:si>
  <x:si>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</x:si>
  <x:si>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RDS5120-1DZ-03</x:t>
    </x:r>
    <x:phoneticPr fontId="0" type="noConversion"/>
  </x:si>
  <x:si>
    <x:t>5-Way</x:t>
  </x:si>
  <x:si>
    <x:t>RDS5120-03</x:t>
  </x:si>
  <x:si>
    <x:r>
      <x:rPr>
        <x:vertAlign val="baseline"/>
        <x:sz val="11"/>
        <x:color theme="1"/>
        <x:rFont val="맑은 고딕"/>
        <x:family val="2"/>
      </x:rPr>
      <x:t>TPC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</x:si>
  <x:si>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TS900LC31S20</x:t>
    </x:r>
    <x:phoneticPr fontId="0" type="noConversion"/>
  </x:si>
  <x:si>
    <x:t>TS900L</x:t>
  </x:si>
  <x:si>
    <x:r>
      <x:rPr>
        <x:b/>
        <x:vertAlign val="baseline"/>
        <x:sz val="11"/>
        <x:color theme="1"/>
        <x:rFont val="맑은 고딕"/>
        <x:family val="3"/>
      </x:rPr>
      <x:t>SV-210-1D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</x:si>
  <x:si>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AC110V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</x:si>
  <x:si>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3-Way, 램프형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</x:si>
  <x:si>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IP-66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</x:si>
  <x:si>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SV-210D</x:t>
    </x:r>
    <x:phoneticPr fontId="0" type="noConversion"/>
  </x:si>
  <x:si>
    <x:t>SYC</x:t>
  </x:si>
  <x:si>
    <x:r>
      <x:rPr>
        <x:b/>
        <x:vertAlign val="baseline"/>
        <x:sz val="11"/>
        <x:color theme="1"/>
        <x:rFont val="맑은 고딕"/>
        <x:family val="3"/>
      </x:rPr>
      <x:t>TS900LC31S30</x:t>
    </x:r>
    <x:phoneticPr fontId="0" type="noConversion"/>
  </x:si>
  <x:si>
    <x:t>SV-210-1D-LAMP</x:t>
  </x:si>
  <x:si>
    <x:r>
      <x:rPr>
        <x:vertAlign val="baseline"/>
        <x:sz val="11"/>
        <x:color theme="1"/>
        <x:rFont val="맑은 고딕"/>
        <x:family val="3"/>
      </x:rPr>
      <x:t>SV-210D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</x:si>
  <x:si>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TS900RC31S10</x:t>
    </x:r>
    <x:phoneticPr fontId="0" type="noConversion"/>
  </x:si>
  <x:si>
    <x:t>TS900R</x:t>
  </x:si>
  <x:si>
    <x:t>SV-210-1D-LOCK LEVER</x:t>
  </x:si>
  <x:si>
    <x:r>
      <x:rPr>
        <x:vertAlign val="baseline"/>
        <x:sz val="11"/>
        <x:color theme="1"/>
        <x:rFont val="맑은 고딕"/>
        <x:family val="3"/>
      </x:rPr>
      <x:t>3-Way, Lock Lever Type, 램프형</x:t>
    </x:r>
    <x:phoneticPr fontId="0" type="noConversion"/>
  </x:si>
  <x:si>
    <x:t>SV-210D</x:t>
  </x:si>
  <x:si>
    <x:r>
      <x:rPr>
        <x:vertAlign val="baseline"/>
        <x:sz val="11"/>
        <x:color theme="1"/>
        <x:rFont val="맑은 고딕"/>
        <x:family val="2"/>
      </x:rPr>
      <x:t>SYC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</x:si>
  <x:si>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YT-1000LSC231S0</x:t>
    </x:r>
    <x:phoneticPr fontId="0" type="noConversion"/>
  </x:si>
  <x:si>
    <x:t>ExdIICT5</x:t>
  </x:si>
  <x:si>
    <x:t>YT-1000L-C</x:t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</x:si>
  <x:si>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</x:si>
  <x:si>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</x:si>
  <x:si>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t>SV-210-1D-LOCK LEVER+LAMP</x:t>
  </x:si>
  <x:si>
    <x:r>
      <x:rPr>
        <x:vertAlign val="baseline"/>
        <x:sz val="11"/>
        <x:color theme="1"/>
        <x:rFont val="맑은 고딕"/>
        <x:family val="3"/>
      </x:rPr>
      <x:t>SV-210D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</x:si>
  <x:si>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YT-1000LSM231S0</x:t>
    </x:r>
    <x:phoneticPr fontId="0" type="noConversion"/>
  </x:si>
  <x:si>
    <x:t>ExdIIBT5</x:t>
  </x:si>
  <x:si>
    <x:t>YT-1000L</x:t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</x:si>
  <x:si>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</x:si>
  <x:si>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</x:si>
  <x:si>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SV-210-2D</x:t>
    </x:r>
    <x:phoneticPr fontId="0" type="noConversion"/>
  </x:si>
  <x:si>
    <x:t>YT-1000RSM231S0</x:t>
  </x:si>
  <x:si>
    <x:t>YT-1000R</x:t>
  </x:si>
  <x:si>
    <x:t>SV-210-2D-LAMP</x:t>
  </x:si>
  <x:si>
    <x:t>YT-1200LS231S0</x:t>
  </x:si>
  <x:si>
    <x:r>
      <x:rPr>
        <x:vertAlign val="baseline"/>
        <x:sz val="11"/>
        <x:color theme="1"/>
        <x:rFont val="맑은 고딕"/>
        <x:family val="3"/>
      </x:rPr>
      <x:t>YT-1200L</x:t>
    </x:r>
    <x:phoneticPr fontId="0" type="noConversion"/>
  </x:si>
  <x:si>
    <x:t>SV-210-2D-LOCK LEVER</x:t>
  </x:si>
  <x:si>
    <x:r>
      <x:rPr>
        <x:b/>
        <x:vertAlign val="baseline"/>
        <x:sz val="11"/>
        <x:color theme="1"/>
        <x:rFont val="맑은 고딕"/>
        <x:family val="3"/>
      </x:rPr>
      <x:t>YT-3300LSN1101S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</x:si>
  <x:si>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YT-3300L</x:t>
    </x:r>
    <x:phoneticPr fontId="0" type="noConversion"/>
  </x:si>
  <x:si>
    <x:t>SV-210-2D-LOCK LEVER+LAMP</x:t>
  </x:si>
  <x:si>
    <x:r>
      <x:rPr>
        <x:b/>
        <x:vertAlign val="baseline"/>
        <x:sz val="11"/>
        <x:color theme="1"/>
        <x:rFont val="맑은 고딕"/>
        <x:family val="3"/>
      </x:rPr>
      <x:t>YT-3300LSN1120S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</x:si>
  <x:si>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YT-3300L</x:t>
    </x:r>
    <x:phoneticPr fontId="0" type="noConversion"/>
  </x:si>
  <x:si>
    <x:t>SV-210-4D-LAMP</x:t>
  </x:si>
  <x:si>
    <x:r>
      <x:rPr>
        <x:b/>
        <x:vertAlign val="baseline"/>
        <x:sz val="11"/>
        <x:color theme="1"/>
        <x:rFont val="맑은 고딕"/>
        <x:family val="3"/>
      </x:rPr>
      <x:t>YT-3300LSN1121S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</x:si>
  <x:si>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YT-3300L</x:t>
    </x:r>
    <x:phoneticPr fontId="0" type="noConversion"/>
  </x:si>
  <x:si>
    <x:t>SV-210-4D-LOCK LEVER</x:t>
  </x:si>
  <x:si>
    <x:t>5-Way, Lock Type</x:t>
  </x:si>
  <x:si>
    <x:r>
      <x:rPr>
        <x:b/>
        <x:vertAlign val="baseline"/>
        <x:sz val="11"/>
        <x:color theme="1"/>
        <x:rFont val="맑은 고딕"/>
        <x:family val="3"/>
      </x:rPr>
      <x:t>YT-3300RSN2120S</x:t>
    </x:r>
    <x:phoneticPr fontId="0" type="noConversion"/>
  </x:si>
  <x:si>
    <x:t>YT-3300R</x:t>
  </x:si>
  <x:si>
    <x:t>SV-210-4D-LOCK LEVER+LAMP</x:t>
  </x:si>
  <x:si>
    <x:r>
      <x:rPr>
        <x:b/>
        <x:vertAlign val="baseline"/>
        <x:sz val="11"/>
        <x:color theme="1"/>
        <x:rFont val="맑은 고딕"/>
        <x:family val="3"/>
      </x:rPr>
      <x:t>YT-3303LDN2121S</x:t>
    </x:r>
    <x:phoneticPr fontId="0" type="noConversion"/>
  </x:si>
  <x:si>
    <x:t>YT-3303LD</x:t>
  </x:si>
  <x:si>
    <x:t>SV-410-1D-LOCK LEVER</x:t>
  </x:si>
  <x:si>
    <x:t>SV-410D</x:t>
  </x:si>
  <x:si>
    <x:r>
      <x:rPr>
        <x:b/>
        <x:vertAlign val="baseline"/>
        <x:sz val="11"/>
        <x:color theme="1"/>
        <x:rFont val="맑은 고딕"/>
        <x:family val="3"/>
      </x:rPr>
      <x:t>YT-3303LSN2100S</x:t>
    </x:r>
    <x:phoneticPr fontId="0" type="noConversion"/>
  </x:si>
  <x:si>
    <x:t>YT-3303L</x:t>
  </x:si>
  <x:si>
    <x:t>VCEFCMHBX8320G174MO-AC110V</x:t>
  </x:si>
  <x:si>
    <x:r>
      <x:rPr>
        <x:vertAlign val="baseline"/>
        <x:sz val="11"/>
        <x:color theme="1"/>
        <x:rFont val="맑은 고딕"/>
        <x:family val="3"/>
      </x:rPr>
      <x:t>AC110V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</x:si>
  <x:si>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3-Way, Manual Operator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</x:si>
  <x:si>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</x:si>
  <x:si>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VCEFCMHBX8320G174MO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</x:si>
  <x:si>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ASCO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</x:si>
  <x:si>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YT-3303LSN2101S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</x:si>
  <x:si>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Smart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</x:si>
  <x:si>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</x:si>
  <x:si>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-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</x:si>
  <x:si>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VCEFCMHBX8320G174MO-AC220V</x:t>
    </x:r>
    <x:phoneticPr fontId="0" type="noConversion"/>
  </x:si>
  <x:si>
    <x:t>3-Way, H-Class, Junction Box, Manual Operator</x:t>
  </x:si>
  <x:si>
    <x:t>ExdIICT3</x:t>
  </x:si>
  <x:si>
    <x:t>VCEFCMHBX8320G174MO</x:t>
  </x:si>
  <x:si>
    <x:t>ASCO</x:t>
  </x:si>
  <x:si>
    <x:r>
      <x:rPr>
        <x:b/>
        <x:vertAlign val="baseline"/>
        <x:sz val="11"/>
        <x:color theme="1"/>
        <x:rFont val="맑은 고딕"/>
        <x:family val="3"/>
      </x:rPr>
      <x:t>YT-3303LSN2120S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</x:si>
  <x:si>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YT-3303LSN2121S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</x:si>
  <x:si>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YT-3400LDC2121S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</x:si>
  <x:si>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Smart-Hart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</x:si>
  <x:si>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ExdIICT6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</x:si>
  <x:si>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YT-3400LD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</x:si>
  <x:si>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YT-3400LSC2100S</x:t>
    </x:r>
    <x:phoneticPr fontId="0" type="noConversion"/>
  </x:si>
  <x:si>
    <x:t>YT-3400L</x:t>
  </x:si>
  <x:si>
    <x:r>
      <x:rPr>
        <x:b/>
        <x:vertAlign val="baseline"/>
        <x:sz val="11"/>
        <x:color theme="1"/>
        <x:rFont val="맑은 고딕"/>
        <x:family val="3"/>
      </x:rPr>
      <x:t>YT-3400LSC2101S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</x:si>
  <x:si>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4 ~ 20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</x:si>
  <x:si>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4 ~ 20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</x:si>
  <x:si>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2-Wire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</x:si>
  <x:si>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YT-3400LSC2121S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</x:si>
  <x:si>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YT-3400RSC2100S</x:t>
    </x:r>
    <x:phoneticPr fontId="0" type="noConversion"/>
  </x:si>
  <x:si>
    <x:r>
      <x:rPr>
        <x:vertAlign val="baseline"/>
        <x:sz val="11"/>
        <x:color theme="1"/>
        <x:rFont val="맑은 고딕"/>
        <x:family val="3"/>
      </x:rPr>
      <x:t>YT-3400R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</x:si>
  <x:si>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</x:si>
  <x:si>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</x:si>
  <x:si>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1 OF 1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</x:si>
  <x:si>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</x:si>
  <x:si>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</x:si>
  <x:si>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Pneumatic 2-Way Globe Valve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</x:si>
  <x:si>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</x:si>
  <x:si>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</x:si>
  <x:si>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</x:si>
  <x:si>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</x:si>
  <x:si>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</x:si>
  <x:si>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t>A-270M</x:t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</x:si>
  <x:si>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</x:si>
  <x:si>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t>None</x:t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</x:si>
  <x:si>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</x:si>
  <x:si>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</x:si>
  <x:si>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</x:si>
  <x:si>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</x:si>
  <x:si>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>PROVAL 고정?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</x:si>
  <x:si>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</x:si>
  <x:si>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</x:si>
  <x:si>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</x:si>
  <x:si>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0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</x:si>
  <x:si>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</x:si>
  <x:si>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</x:si>
  <x:si>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</x:si>
  <x:si>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</x:si>
  <x:si>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</x:si>
  <x:si>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</x:si>
  <x:si>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</x:si>
  <x:si>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</x:si>
  <x:si>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</x:si>
  <x:si>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</x:si>
  <x:si>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</x:si>
  <x:si>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</x:si>
  <x:si>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</x:si>
  <x:si>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</x:si>
  <x:si>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</x:si>
  <x:si>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</x:si>
  <x:si>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</x:si>
  <x:si>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</x:si>
  <x:si>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</x:si>
  <x:si>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</x:si>
  <x:si>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</x:si>
  <x:si>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</x:si>
  <x:si>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</x:si>
  <x:si>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</x:si>
  <x:si>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</x:si>
  <x:si>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</x:si>
  <x:si>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</x:si>
  <x:si>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</x:si>
  <x:si>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</x:si>
  <x:si>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</x:si>
  <x:si>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</x:si>
  <x:si>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</x:si>
  <x:si>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</x:si>
  <x:si>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</x:si>
  <x:si>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</x:si>
  <x:si>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</x:si>
  <x:si>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</x:si>
  <x:si>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</x:si>
  <x:si>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</x:si>
  <x:si>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</x:si>
  <x:si>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</x:si>
  <x:si>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</x:si>
  <x:si>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</x:si>
  <x:si>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</x:si>
  <x:si>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</x:si>
  <x:si>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</x:si>
  <x:si>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</x:si>
  <x:si>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</x:si>
  <x:si>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</x:si>
  <x:si>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</x:si>
  <x:si>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</x:si>
  <x:si>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</x:si>
  <x:si>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</x:si>
  <x:si>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</x:si>
  <x:si>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</x:si>
  <x:si>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</x:si>
  <x:si>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</x:si>
  <x:si>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</x:si>
  <x:si>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</x:si>
  <x:si>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</x:si>
  <x:si>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</x:si>
  <x:si>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</x:si>
  <x:si>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</x:si>
  <x:si>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</x:si>
  <x:si>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</x:si>
  <x:si>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</x:si>
  <x:si>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</x:si>
  <x:si>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</x:si>
  <x:si>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</x:si>
  <x:si>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</x:si>
  <x:si>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</x:si>
  <x:si>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</x:si>
  <x:si>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</x:si>
  <x:si>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</x:si>
  <x:si>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</x:si>
  <x:si>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</x:si>
  <x:si>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</x:si>
  <x:si>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</x:si>
  <x:si>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</x:si>
  <x:si>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</x:si>
  <x:si>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</x:si>
  <x:si>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</x:si>
  <x:si>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</x:si>
  <x:si>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</x:si>
  <x:si>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</x:si>
  <x:si>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</x:si>
  <x:si>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</x:si>
  <x:si>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</x:si>
  <x:si>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</x:si>
  <x:si>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</x:si>
  <x:si>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</x:si>
  <x:si>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</x:si>
  <x:si>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</x:si>
  <x:si>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</x:si>
  <x:si>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</x:si>
  <x:si>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</x:si>
  <x:si>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</x:si>
  <x:si>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</x:si>
  <x:si>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</x:si>
  <x:si>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</x:si>
  <x:si>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</x:si>
  <x:si>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</x:si>
  <x:si>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</x:si>
  <x:si>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</x:si>
  <x:si>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</x:si>
  <x:si>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</x:si>
  <x:si>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</x:si>
  <x:si>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</x:si>
  <x:si>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</x:si>
  <x:si>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</x:si>
  <x:si>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</x:si>
  <x:si>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</x:si>
  <x:si>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t>AR-1501PS1</x:t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</x:si>
  <x:si>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</x:si>
  <x:si>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</x:si>
  <x:si>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</x:si>
  <x:si>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</x:si>
  <x:si>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</x:si>
  <x:si>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</x:si>
  <x:si>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</x:si>
  <x:si>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</x:si>
  <x:si>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</x:si>
  <x:si>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</x:si>
  <x:si>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</x:si>
  <x:si>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</x:si>
  <x:si>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</x:si>
  <x:si>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</x:si>
  <x:si>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</x:si>
  <x:si>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</x:si>
  <x:si>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</x:si>
  <x:si>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</x:si>
  <x:si>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</x:si>
  <x:si>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</x:si>
  <x:si>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</x:si>
  <x:si>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</x:si>
  <x:si>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</x:si>
  <x:si>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</x:si>
  <x:si>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</x:si>
  <x:si>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2-Way Globe</x:t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</x:si>
  <x:si>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</x:si>
  <x:si>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</x:si>
  <x:si>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</x:si>
  <x:si>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</x:si>
  <x:si>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</x:si>
  <x:si>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</x:si>
  <x:si>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</x:si>
  <x:si>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3/4"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</x:si>
  <x:si>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</x:si>
  <x:si>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</x:si>
  <x:si>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</x:si>
  <x:si>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</x:si>
  <x:si>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</x:si>
  <x:si>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t>Quick-Change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</x:si>
  <x:si>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</x:si>
  <x:si>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</x:si>
  <x:si>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</x:si>
  <x:si>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</x:si>
  <x:si>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</x:si>
  <x:si>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Y-Port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</x:si>
  <x:si>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</x:si>
  <x:si>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</x:si>
  <x:si>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</x:si>
  <x:si>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</x:si>
  <x:si>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</x:si>
  <x:si>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</x:si>
  <x:si>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</x:si>
  <x:si>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</x:si>
  <x:si>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</x:si>
  <x:si>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</x:si>
  <x:si>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t>-</x:t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</x:si>
  <x:si>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</x:si>
  <x:si>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</x:si>
  <x:si>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t>JIS/KS 20K R.F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</x:si>
  <x:si>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</x:si>
  <x:si>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</x:si>
  <x:si>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</x:si>
  <x:si>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</x:si>
  <x:si>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</x:si>
  <x:si>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</x:si>
  <x:si>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</x:si>
  <x:si>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</x:si>
  <x:si>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</x:si>
  <x:si>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</x:si>
  <x:si>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</x:si>
  <x:si>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CF8 (SCS13)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</x:si>
  <x:si>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</x:si>
  <x:si>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</x:si>
  <x:si>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</x:si>
  <x:si>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</x:si>
  <x:si>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WC6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</x:si>
  <x:si>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</x:si>
  <x:si>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</x:si>
  <x:si>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</x:si>
  <x:si>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</x:si>
  <x:si>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</x:si>
  <x:si>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</x:si>
  <x:si>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</x:si>
  <x:si>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</x:si>
  <x:si>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</x:si>
  <x:si>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</x:si>
  <x:si>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</x:si>
  <x:si>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</x:si>
  <x:si>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</x:si>
  <x:si>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</x:si>
  <x:si>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t>Standard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</x:si>
  <x:si>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</x:si>
  <x:si>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</x:si>
  <x:si>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</x:si>
  <x:si>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</x:si>
  <x:si>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t>Linear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</x:si>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</x:sst>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_);[Red]\(0.0\)"/>
    <x:numFmt numFmtId="177" formatCode="0.0"/>
  </x:numFmts>
  <x:fonts count="40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sz val="11"/>
      <x:color theme="1"/>
      <x:name val="맑은 고딕"/>
      <x:family val="2"/>
      <x:scheme val="minor"/>
    </x:font>
    <x:font>
      <x:b/>
      <x:sz val="16"/>
      <x:color theme="1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vertAlign val="baseline"/>
      <x:sz val="16"/>
      <x:color theme="1"/>
      <x:name val="맑은 고딕"/>
      <x:family val="3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8" tint="0.79998168889431442"/>
        <x:bgColor indexed="64"/>
      </x:patternFill>
    </x:fill>
  </x:fills>
  <x:borders count="57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/>
      <x:diagonal/>
    </x:border>
  </x:borders>
  <x:cellStyleXfs count="239">
    <x:xf numFmtId="0" fontId="0" fillId="0" borderId="0">
      <x:alignment vertical="center"/>
    </x:xf>
    <x:xf numFmtId="0" fontId="3" fillId="0" borderId="0">
      <x:alignment vertical="center"/>
    </x:xf>
    <x:xf numFmtId="0" fontId="5" fillId="0" borderId="0">
      <x:alignment vertical="center"/>
    </x:xf>
    <x:xf numFmtId="0" fontId="5" fillId="0" borderId="0"/>
    <x:xf numFmtId="0" fontId="5" fillId="0" borderId="0"/>
    <x:xf numFmtId="0" fontId="10" fillId="0" borderId="0"/>
    <x:xf numFmtId="0" fontId="18" fillId="0" borderId="0"/>
    <x:xf numFmtId="0" fontId="2" fillId="0" borderId="0">
      <x:alignment vertical="center"/>
    </x:xf>
    <x:xf numFmtId="0" fontId="26" fillId="0" borderId="0"/>
    <x:xf numFmtId="0" fontId="1" fillId="0" borderId="0">
      <x:alignment vertical="center"/>
    </x:xf>
    <x:xf numFmtId="0" fontId="29" fillId="0" borderId="0" applyNumberFormat="1" applyFill="1" applyBorder="0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29" fillId="3" borderId="34" applyNumberFormat="1" applyFill="0" applyBorder="1" applyAlignment="1" applyProtection="1">
      <x:protection locked="1" hidden="0"/>
    </x:xf>
    <x:xf numFmtId="0" fontId="29" fillId="3" borderId="8" applyNumberFormat="1" applyFill="0" applyBorder="1" applyAlignment="1" applyProtection="1">
      <x:protection locked="1" hidden="0"/>
    </x:xf>
    <x:xf numFmtId="0" fontId="29" fillId="3" borderId="7" applyNumberFormat="1" applyFill="0" applyBorder="1" applyAlignment="1" applyProtection="1">
      <x:protection locked="1" hidden="0"/>
    </x:xf>
    <x:xf numFmtId="0" fontId="29" fillId="3" borderId="9" applyNumberFormat="1" applyFill="0" applyBorder="1" applyAlignment="1" applyProtection="1">
      <x:protection locked="1" hidden="0"/>
    </x:xf>
    <x:xf numFmtId="0" fontId="1" fillId="4" borderId="34" applyNumberFormat="1" applyFill="0" applyBorder="1" applyAlignment="1" applyProtection="1">
      <x:protection locked="1" hidden="0"/>
    </x:xf>
    <x:xf numFmtId="0" fontId="1" fillId="0" borderId="34" applyNumberFormat="1" applyFill="1" applyBorder="1" applyAlignment="1" applyProtection="1">
      <x:protection locked="1" hidden="0"/>
    </x:xf>
    <x:xf numFmtId="0" fontId="30" fillId="5" borderId="34" applyNumberFormat="1" applyFill="0" applyBorder="1" applyAlignment="1" applyProtection="1">
      <x:protection locked="1" hidden="0"/>
    </x:xf>
    <x:xf numFmtId="176" fontId="1" fillId="5" borderId="34" applyNumberFormat="1" applyFill="0" applyBorder="1" applyAlignment="1" applyProtection="1">
      <x:protection locked="1" hidden="0"/>
    </x:xf>
    <x:xf numFmtId="176" fontId="1" fillId="0" borderId="34" applyNumberFormat="1" applyFill="1" applyBorder="1" applyAlignment="1" applyProtection="1">
      <x:protection locked="1" hidden="0"/>
    </x:xf>
    <x:xf numFmtId="0" fontId="30" fillId="6" borderId="34" applyNumberFormat="1" applyFill="0" applyBorder="1" applyAlignment="1" applyProtection="1">
      <x:protection locked="1" hidden="0"/>
    </x:xf>
    <x:xf numFmtId="0" fontId="1" fillId="5" borderId="34" applyNumberFormat="1" applyFill="0" applyBorder="1" applyAlignment="1" applyProtection="1">
      <x:protection locked="1" hidden="0"/>
    </x:xf>
    <x:xf numFmtId="0" fontId="29" fillId="3" borderId="46" applyNumberFormat="1" applyFill="0" applyBorder="1" applyAlignment="1" applyProtection="1">
      <x:protection locked="1" hidden="0"/>
    </x:xf>
    <x:xf numFmtId="0" fontId="29" fillId="3" borderId="55" applyNumberFormat="1" applyFill="0" applyBorder="1" applyAlignment="1" applyProtection="1">
      <x:protection locked="1" hidden="0"/>
    </x:xf>
    <x:xf numFmtId="0" fontId="29" fillId="3" borderId="32" applyNumberFormat="1" applyFill="0" applyBorder="1" applyAlignment="1" applyProtection="1">
      <x:protection locked="1" hidden="0"/>
    </x:xf>
    <x:xf numFmtId="0" fontId="29" fillId="7" borderId="34" applyNumberFormat="1" applyFill="0" applyBorder="1" applyAlignment="1" applyProtection="1">
      <x:protection locked="1" hidden="0"/>
    </x:xf>
    <x:xf numFmtId="0" fontId="29" fillId="8" borderId="34" applyNumberFormat="1" applyFill="0" applyBorder="1" applyAlignment="1" applyProtection="1">
      <x:protection locked="1" hidden="0"/>
    </x:xf>
    <x:xf numFmtId="0" fontId="31" fillId="0" borderId="34" applyNumberFormat="1" applyFill="1" applyBorder="1" applyAlignment="1" applyProtection="1">
      <x:protection locked="1" hidden="0"/>
    </x:xf>
    <x:xf numFmtId="177" fontId="1" fillId="0" borderId="34" applyNumberFormat="1" applyFill="1" applyBorder="1" applyAlignment="1" applyProtection="1">
      <x:protection locked="1" hidden="0"/>
    </x:xf>
    <x:xf numFmtId="0" fontId="31" fillId="2" borderId="34" applyNumberFormat="1" applyFill="0" applyBorder="1" applyAlignment="1" applyProtection="1">
      <x:protection locked="1" hidden="0"/>
    </x:xf>
    <x:xf numFmtId="177" fontId="31" fillId="0" borderId="34" applyNumberFormat="1" applyFill="1" applyBorder="1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4" fillId="2" borderId="40" applyNumberFormat="1" applyFill="0" applyBorder="1" applyAlignment="1" applyProtection="1">
      <x:protection locked="1" hidden="0"/>
    </x:xf>
    <x:xf numFmtId="0" fontId="24" fillId="2" borderId="39" applyNumberFormat="1" applyFill="0" applyBorder="1" applyAlignment="1" applyProtection="1">
      <x:protection locked="1" hidden="0"/>
    </x:xf>
    <x:xf numFmtId="0" fontId="24" fillId="2" borderId="53" applyNumberFormat="1" applyFill="0" applyBorder="1" applyAlignment="1" applyProtection="1">
      <x:protection locked="1" hidden="0"/>
    </x:xf>
    <x:xf numFmtId="0" fontId="25" fillId="2" borderId="52" applyNumberFormat="1" applyFill="0" applyBorder="1" applyAlignment="1" applyProtection="1">
      <x:protection locked="1" hidden="0"/>
    </x:xf>
    <x:xf numFmtId="0" fontId="25" fillId="2" borderId="51" applyNumberFormat="1" applyFill="0" applyBorder="1" applyAlignment="1" applyProtection="1">
      <x:protection locked="1" hidden="0"/>
    </x:xf>
    <x:xf numFmtId="0" fontId="25" fillId="2" borderId="54" applyNumberFormat="1" applyFill="0" applyBorder="1" applyAlignment="1" applyProtection="1">
      <x:protection locked="1" hidden="0"/>
    </x:xf>
    <x:xf numFmtId="0" fontId="8" fillId="2" borderId="51" applyNumberFormat="1" applyFill="0" applyBorder="1" applyAlignment="1" applyProtection="1">
      <x:protection locked="1" hidden="0"/>
    </x:xf>
    <x:xf numFmtId="0" fontId="8" fillId="2" borderId="54" applyNumberFormat="1" applyFill="0" applyBorder="1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6" fillId="2" borderId="52" applyNumberFormat="1" applyFill="0" applyBorder="1" applyAlignment="1" applyProtection="1">
      <x:protection locked="1" hidden="0"/>
    </x:xf>
    <x:xf numFmtId="0" fontId="16" fillId="2" borderId="51" applyNumberFormat="1" applyFill="0" applyBorder="1" applyAlignment="1" applyProtection="1">
      <x:protection locked="1" hidden="0"/>
    </x:xf>
    <x:xf numFmtId="0" fontId="16" fillId="2" borderId="50" applyNumberFormat="1" applyFill="0" applyBorder="1" applyAlignment="1" applyProtection="1">
      <x:protection locked="1" hidden="0"/>
    </x:xf>
    <x:xf numFmtId="0" fontId="24" fillId="2" borderId="24" applyNumberFormat="1" applyFill="0" applyBorder="1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24" fillId="2" borderId="42" applyNumberFormat="1" applyFill="0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7" applyNumberFormat="1" applyFill="0" applyBorder="1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8" fillId="2" borderId="6" applyNumberFormat="1" applyFill="0" applyBorder="1" applyAlignment="1" applyProtection="1">
      <x:protection locked="1" hidden="0"/>
    </x:xf>
    <x:xf numFmtId="0" fontId="6" fillId="2" borderId="40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53" applyNumberFormat="1" applyFill="0" applyBorder="1" applyAlignment="1" applyProtection="1">
      <x:protection locked="1" hidden="0"/>
    </x:xf>
    <x:xf numFmtId="0" fontId="14" fillId="2" borderId="24" applyNumberFormat="1" applyFill="0" applyBorder="1" applyAlignment="1" applyProtection="1">
      <x:protection locked="1" hidden="0"/>
    </x:xf>
    <x:xf numFmtId="0" fontId="14" fillId="2" borderId="42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22" fillId="2" borderId="34" applyNumberFormat="1" applyFill="0" applyBorder="1" applyAlignment="1" applyProtection="1">
      <x:protection locked="1" hidden="0"/>
    </x:xf>
    <x:xf numFmtId="0" fontId="22" fillId="2" borderId="8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0" fontId="6" fillId="2" borderId="42" applyNumberFormat="1" applyFill="0" applyBorder="1" applyAlignment="1" applyProtection="1">
      <x:protection locked="1" hidden="0"/>
    </x:xf>
    <x:xf numFmtId="0" fontId="16" fillId="2" borderId="34" applyNumberFormat="1" applyFill="0" applyBorder="1" applyAlignment="1" applyProtection="1">
      <x:protection locked="1" hidden="0"/>
    </x:xf>
    <x:xf numFmtId="0" fontId="6" fillId="2" borderId="34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14" fillId="2" borderId="34" applyNumberFormat="1" applyFill="0" applyBorder="1" applyAlignment="1" applyProtection="1">
      <x:protection locked="1" hidden="0"/>
    </x:xf>
    <x:xf numFmtId="0" fontId="24" fillId="2" borderId="22" applyNumberFormat="1" applyFill="0" applyBorder="1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41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1"/>
    </x:xf>
    <x:xf numFmtId="0" fontId="8" fillId="2" borderId="4" applyNumberFormat="1" applyFill="0" applyBorder="1" applyAlignment="1" applyProtection="1">
      <x:protection locked="1" hidden="1"/>
    </x:xf>
    <x:xf numFmtId="0" fontId="8" fillId="2" borderId="3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8" fillId="2" borderId="1" applyNumberFormat="1" applyFill="0" applyBorder="1" applyAlignment="1" applyProtection="1">
      <x:protection locked="1" hidden="0"/>
    </x:xf>
    <x:xf numFmtId="0" fontId="24" fillId="2" borderId="52" applyNumberFormat="1" applyFill="0" applyBorder="1" applyAlignment="1" applyProtection="1">
      <x:protection locked="1" hidden="0"/>
    </x:xf>
    <x:xf numFmtId="0" fontId="24" fillId="2" borderId="51" applyNumberFormat="1" applyFill="0" applyBorder="1" applyAlignment="1" applyProtection="1">
      <x:protection locked="1" hidden="0"/>
    </x:xf>
    <x:xf numFmtId="0" fontId="8" fillId="2" borderId="51" applyNumberFormat="1" applyFill="0" applyBorder="1" applyAlignment="1" applyProtection="1">
      <x:protection locked="1" hidden="1"/>
    </x:xf>
    <x:xf numFmtId="0" fontId="11" fillId="2" borderId="40" applyNumberFormat="1" applyFill="0" applyBorder="1" applyAlignment="1" applyProtection="1">
      <x:protection locked="1" hidden="0"/>
    </x:xf>
    <x:xf numFmtId="0" fontId="11" fillId="2" borderId="39" applyNumberFormat="1" applyFill="0" applyBorder="1" applyAlignment="1" applyProtection="1">
      <x:protection locked="1" hidden="0"/>
    </x:xf>
    <x:xf numFmtId="0" fontId="11" fillId="2" borderId="38" applyNumberFormat="1" applyFill="0" applyBorder="1" applyAlignment="1" applyProtection="1">
      <x:protection locked="1" hidden="0"/>
    </x:xf>
    <x:xf numFmtId="0" fontId="12" fillId="2" borderId="17" applyNumberFormat="1" applyFill="0" applyBorder="1" applyAlignment="1" applyProtection="1">
      <x:protection locked="1" hidden="0"/>
    </x:xf>
    <x:xf numFmtId="0" fontId="12" fillId="2" borderId="18" applyNumberFormat="1" applyFill="0" applyBorder="1" applyAlignment="1" applyProtection="1">
      <x:protection locked="1" hidden="0"/>
    </x:xf>
    <x:xf numFmtId="0" fontId="8" fillId="2" borderId="18" applyNumberFormat="1" applyFill="0" applyBorder="1" applyAlignment="1" applyProtection="1">
      <x:protection locked="1" hidden="0"/>
    </x:xf>
    <x:xf numFmtId="0" fontId="12" fillId="2" borderId="16" applyNumberFormat="1" applyFill="0" applyBorder="1" applyAlignment="1" applyProtection="1">
      <x:protection locked="1" hidden="0"/>
    </x:xf>
    <x:xf numFmtId="0" fontId="8" fillId="2" borderId="17" applyNumberFormat="1" applyFill="0" applyBorder="1" applyAlignment="1" applyProtection="1">
      <x:protection locked="0" hidden="0"/>
    </x:xf>
    <x:xf numFmtId="0" fontId="8" fillId="2" borderId="16" applyNumberFormat="1" applyFill="0" applyBorder="1" applyAlignment="1" applyProtection="1">
      <x:protection locked="0" hidden="0"/>
    </x:xf>
    <x:xf numFmtId="0" fontId="8" fillId="2" borderId="15" applyNumberFormat="1" applyFill="0" applyBorder="1" applyAlignment="1" applyProtection="1">
      <x:protection locked="0" hidden="0"/>
    </x:xf>
    <x:xf numFmtId="0" fontId="11" fillId="2" borderId="24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1" fillId="2" borderId="23" applyNumberFormat="1" applyFill="0" applyBorder="1" applyAlignment="1" applyProtection="1">
      <x:protection locked="1" hidden="0"/>
    </x:xf>
    <x:xf numFmtId="0" fontId="12" fillId="2" borderId="8" applyNumberFormat="1" applyFill="0" applyBorder="1" applyAlignment="1" applyProtection="1">
      <x:protection locked="1" hidden="0"/>
    </x:xf>
    <x:xf numFmtId="0" fontId="12" fillId="2" borderId="9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12" fillId="2" borderId="7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3" fillId="2" borderId="42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0" hidden="0"/>
    </x:xf>
    <x:xf numFmtId="0" fontId="8" fillId="2" borderId="7" applyNumberFormat="1" applyFill="0" applyBorder="1" applyAlignment="1" applyProtection="1">
      <x:protection locked="0" hidden="0"/>
    </x:xf>
    <x:xf numFmtId="0" fontId="8" fillId="2" borderId="6" applyNumberFormat="1" applyFill="0" applyBorder="1" applyAlignment="1" applyProtection="1">
      <x:protection locked="0" hidden="0"/>
    </x:xf>
    <x:xf numFmtId="0" fontId="11" fillId="2" borderId="22" applyNumberFormat="1" applyFill="0" applyBorder="1" applyAlignment="1" applyProtection="1">
      <x:protection locked="1" hidden="0"/>
    </x:xf>
    <x:xf numFmtId="0" fontId="11" fillId="2" borderId="21" applyNumberFormat="1" applyFill="0" applyBorder="1" applyAlignment="1" applyProtection="1">
      <x:protection locked="1" hidden="0"/>
    </x:xf>
    <x:xf numFmtId="0" fontId="11" fillId="2" borderId="20" applyNumberFormat="1" applyFill="0" applyBorder="1" applyAlignment="1" applyProtection="1">
      <x:protection locked="1" hidden="0"/>
    </x:xf>
    <x:xf numFmtId="0" fontId="12" fillId="2" borderId="3" applyNumberFormat="1" applyFill="0" applyBorder="1" applyAlignment="1" applyProtection="1">
      <x:protection locked="1" hidden="0"/>
    </x:xf>
    <x:xf numFmtId="0" fontId="12" fillId="2" borderId="2" applyNumberFormat="1" applyFill="0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0" hidden="0"/>
    </x:xf>
    <x:xf numFmtId="0" fontId="8" fillId="2" borderId="2" applyNumberFormat="1" applyFill="0" applyBorder="1" applyAlignment="1" applyProtection="1">
      <x:protection locked="0" hidden="0"/>
    </x:xf>
    <x:xf numFmtId="0" fontId="8" fillId="2" borderId="1" applyNumberFormat="1" applyFill="0" applyBorder="1" applyAlignment="1" applyProtection="1">
      <x:protection locked="0" hidden="0"/>
    </x:xf>
    <x:xf numFmtId="0" fontId="17" fillId="2" borderId="24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7" fillId="2" borderId="23" applyNumberFormat="1" applyFill="0" applyBorder="1" applyAlignment="1" applyProtection="1">
      <x:protection locked="1" hidden="0"/>
    </x:xf>
    <x:xf numFmtId="0" fontId="12" fillId="2" borderId="12" applyNumberFormat="1" applyFill="0" applyBorder="1" applyAlignment="1" applyProtection="1">
      <x:protection locked="1" hidden="0"/>
    </x:xf>
    <x:xf numFmtId="0" fontId="12" fillId="2" borderId="11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8" fillId="2" borderId="35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0" hidden="0"/>
    </x:xf>
    <x:xf numFmtId="0" fontId="8" fillId="2" borderId="11" applyNumberFormat="1" applyFill="0" applyBorder="1" applyAlignment="1" applyProtection="1">
      <x:protection locked="0" hidden="0"/>
    </x:xf>
    <x:xf numFmtId="0" fontId="8" fillId="2" borderId="25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41" applyNumberFormat="1" applyFill="0" applyBorder="1" applyAlignment="1" applyProtection="1">
      <x:protection locked="1" hidden="0"/>
    </x:xf>
    <x:xf numFmtId="0" fontId="17" fillId="2" borderId="22" applyNumberFormat="1" applyFill="0" applyBorder="1" applyAlignment="1" applyProtection="1">
      <x:protection locked="1" hidden="0"/>
    </x:xf>
    <x:xf numFmtId="0" fontId="17" fillId="2" borderId="21" applyNumberFormat="1" applyFill="0" applyBorder="1" applyAlignment="1" applyProtection="1">
      <x:protection locked="1" hidden="0"/>
    </x:xf>
    <x:xf numFmtId="0" fontId="17" fillId="2" borderId="20" applyNumberFormat="1" applyFill="0" applyBorder="1" applyAlignment="1" applyProtection="1">
      <x:protection locked="1" hidden="0"/>
    </x:xf>
    <x:xf numFmtId="0" fontId="16" fillId="2" borderId="8" applyNumberFormat="1" applyFill="0" applyBorder="1" applyAlignment="1" applyProtection="1">
      <x:protection locked="1" hidden="0"/>
    </x:xf>
    <x:xf numFmtId="0" fontId="21" fillId="2" borderId="24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23" applyNumberFormat="1" applyFill="0" applyBorder="1" applyAlignment="1" applyProtection="1">
      <x:protection locked="1" hidden="0"/>
    </x:xf>
    <x:xf numFmtId="0" fontId="21" fillId="2" borderId="22" applyNumberFormat="1" applyFill="0" applyBorder="1" applyAlignment="1" applyProtection="1">
      <x:protection locked="1" hidden="0"/>
    </x:xf>
    <x:xf numFmtId="0" fontId="21" fillId="2" borderId="21" applyNumberFormat="1" applyFill="0" applyBorder="1" applyAlignment="1" applyProtection="1">
      <x:protection locked="1" hidden="0"/>
    </x:xf>
    <x:xf numFmtId="0" fontId="21" fillId="2" borderId="20" applyNumberFormat="1" applyFill="0" applyBorder="1" applyAlignment="1" applyProtection="1">
      <x:protection locked="1" hidden="0"/>
    </x:xf>
    <x:xf numFmtId="0" fontId="12" fillId="2" borderId="4" applyNumberFormat="1" applyFill="0" applyBorder="1" applyAlignment="1" applyProtection="1">
      <x:protection locked="1" hidden="0"/>
    </x:xf>
    <x:xf numFmtId="0" fontId="8" fillId="2" borderId="24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23" applyNumberFormat="1" applyFill="0" applyBorder="1" applyAlignment="1" applyProtection="1">
      <x:protection locked="1" hidden="0"/>
    </x:xf>
    <x:xf numFmtId="0" fontId="19" fillId="2" borderId="17" applyNumberFormat="1" applyFill="0" applyBorder="1" applyAlignment="1" applyProtection="1">
      <x:protection locked="1" hidden="0"/>
    </x:xf>
    <x:xf numFmtId="0" fontId="19" fillId="2" borderId="16" applyNumberFormat="1" applyFill="0" applyBorder="1" applyAlignment="1" applyProtection="1">
      <x:protection locked="1" hidden="0"/>
    </x:xf>
    <x:xf numFmtId="0" fontId="19" fillId="2" borderId="18" applyNumberFormat="1" applyFill="0" applyBorder="1" applyAlignment="1" applyProtection="1">
      <x:protection locked="1" hidden="0"/>
    </x:xf>
    <x:xf numFmtId="0" fontId="8" fillId="2" borderId="22" applyNumberFormat="1" applyFill="0" applyBorder="1" applyAlignment="1" applyProtection="1">
      <x:protection locked="1" hidden="0"/>
    </x:xf>
    <x:xf numFmtId="0" fontId="8" fillId="2" borderId="21" applyNumberFormat="1" applyFill="0" applyBorder="1" applyAlignment="1" applyProtection="1">
      <x:protection locked="1" hidden="0"/>
    </x:xf>
    <x:xf numFmtId="0" fontId="8" fillId="2" borderId="20" applyNumberFormat="1" applyFill="0" applyBorder="1" applyAlignment="1" applyProtection="1">
      <x:protection locked="1" hidden="0"/>
    </x:xf>
    <x:xf numFmtId="0" fontId="19" fillId="2" borderId="45" applyNumberFormat="1" applyFill="0" applyBorder="1" applyAlignment="1" applyProtection="1">
      <x:protection locked="1" hidden="0"/>
    </x:xf>
    <x:xf numFmtId="0" fontId="19" fillId="2" borderId="44" applyNumberFormat="1" applyFill="0" applyBorder="1" applyAlignment="1" applyProtection="1">
      <x:protection locked="1" hidden="0"/>
    </x:xf>
    <x:xf numFmtId="0" fontId="19" fillId="2" borderId="43" applyNumberFormat="1" applyFill="0" applyBorder="1" applyAlignment="1" applyProtection="1">
      <x:protection locked="1" hidden="0"/>
    </x:xf>
    <x:xf numFmtId="0" fontId="19" fillId="2" borderId="8" applyNumberFormat="1" applyFill="0" applyBorder="1" applyAlignment="1" applyProtection="1">
      <x:protection locked="1" hidden="0"/>
    </x:xf>
    <x:xf numFmtId="0" fontId="19" fillId="2" borderId="7" applyNumberFormat="1" applyFill="0" applyBorder="1" applyAlignment="1" applyProtection="1">
      <x:protection locked="1" hidden="0"/>
    </x:xf>
    <x:xf numFmtId="0" fontId="19" fillId="2" borderId="9" applyNumberFormat="1" applyFill="0" applyBorder="1" applyAlignment="1" applyProtection="1">
      <x:protection locked="1" hidden="0"/>
    </x:xf>
    <x:xf numFmtId="0" fontId="19" fillId="2" borderId="12" applyNumberFormat="1" applyFill="0" applyBorder="1" applyAlignment="1" applyProtection="1">
      <x:protection locked="1" hidden="0"/>
    </x:xf>
    <x:xf numFmtId="0" fontId="19" fillId="2" borderId="11" applyNumberFormat="1" applyFill="0" applyBorder="1" applyAlignment="1" applyProtection="1">
      <x:protection locked="1" hidden="0"/>
    </x:xf>
    <x:xf numFmtId="0" fontId="19" fillId="2" borderId="13" applyNumberFormat="1" applyFill="0" applyBorder="1" applyAlignment="1" applyProtection="1">
      <x:protection locked="1" hidden="0"/>
    </x:xf>
    <x:xf numFmtId="0" fontId="19" fillId="2" borderId="25" applyNumberFormat="1" applyFill="0" applyBorder="1" applyAlignment="1" applyProtection="1">
      <x:protection locked="1" hidden="0"/>
    </x:xf>
    <x:xf numFmtId="0" fontId="19" fillId="2" borderId="3" applyNumberFormat="1" applyFill="0" applyBorder="1" applyAlignment="1" applyProtection="1">
      <x:protection locked="1" hidden="0"/>
    </x:xf>
    <x:xf numFmtId="0" fontId="19" fillId="2" borderId="2" applyNumberFormat="1" applyFill="0" applyBorder="1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9" fillId="2" borderId="1" applyNumberFormat="1" applyFill="0" applyBorder="1" applyAlignment="1" applyProtection="1">
      <x:protection locked="1" hidden="0"/>
    </x:xf>
    <x:xf numFmtId="0" fontId="12" fillId="2" borderId="45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8" fillId="2" borderId="44" applyNumberFormat="1" applyFill="0" applyBorder="1" applyAlignment="1" applyProtection="1">
      <x:protection locked="1" hidden="0"/>
    </x:xf>
    <x:xf numFmtId="0" fontId="8" fillId="2" borderId="43" applyNumberFormat="1" applyFill="0" applyBorder="1" applyAlignment="1" applyProtection="1">
      <x:protection locked="1" hidden="0"/>
    </x:xf>
    <x:xf numFmtId="0" fontId="8" fillId="2" borderId="56" applyNumberFormat="1" applyFill="0" applyBorder="1" applyAlignment="1" applyProtection="1">
      <x:protection locked="1" hidden="0"/>
    </x:xf>
    <x:xf numFmtId="0" fontId="8" fillId="2" borderId="39" applyNumberFormat="1" applyFill="0" applyBorder="1" applyAlignment="1" applyProtection="1">
      <x:protection locked="1" hidden="0"/>
    </x:xf>
    <x:xf numFmtId="0" fontId="8" fillId="2" borderId="38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0" hidden="0"/>
    </x:xf>
    <x:xf numFmtId="49" fontId="8" fillId="2" borderId="8" applyNumberFormat="1" applyFill="0" applyBorder="1" applyAlignment="1" applyProtection="1">
      <x:protection locked="0" hidden="0"/>
    </x:xf>
    <x:xf numFmtId="49" fontId="8" fillId="2" borderId="7" applyNumberFormat="1" applyFill="0" applyBorder="1" applyAlignment="1" applyProtection="1">
      <x:protection locked="0" hidden="0"/>
    </x:xf>
    <x:xf numFmtId="49" fontId="8" fillId="2" borderId="9" applyNumberFormat="1" applyFill="0" applyBorder="1" applyAlignment="1" applyProtection="1">
      <x:protection locked="0" hidden="0"/>
    </x:xf>
    <x:xf numFmtId="49" fontId="8" fillId="2" borderId="6" applyNumberFormat="1" applyFill="0" applyBorder="1" applyAlignment="1" applyProtection="1">
      <x:protection locked="0" hidden="0"/>
    </x:xf>
    <x:xf numFmtId="0" fontId="8" fillId="2" borderId="17" quotePrefix="1" applyNumberFormat="1" applyFill="0" applyBorder="1" applyAlignment="1" applyProtection="1">
      <x:protection locked="1" hidden="0"/>
    </x:xf>
    <x:xf numFmtId="0" fontId="8" fillId="2" borderId="16" quotePrefix="1" applyNumberFormat="1" applyFill="0" applyBorder="1" applyAlignment="1" applyProtection="1">
      <x:protection locked="1" hidden="0"/>
    </x:xf>
    <x:xf numFmtId="0" fontId="8" fillId="2" borderId="15" quotePrefix="1" applyNumberFormat="1" applyFill="0" applyBorder="1" applyAlignment="1" applyProtection="1">
      <x:protection locked="1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1" fontId="8" fillId="2" borderId="8" applyNumberFormat="1" applyFill="0" applyBorder="1" applyAlignment="1" applyProtection="1">
      <x:protection locked="0" hidden="0"/>
    </x:xf>
    <x:xf numFmtId="1" fontId="8" fillId="2" borderId="7" applyNumberFormat="1" applyFill="0" applyBorder="1" applyAlignment="1" applyProtection="1">
      <x:protection locked="0" hidden="0"/>
    </x:xf>
    <x:xf numFmtId="1" fontId="8" fillId="2" borderId="6" applyNumberFormat="1" applyFill="0" applyBorder="1" applyAlignment="1" applyProtection="1">
      <x:protection locked="0" hidden="0"/>
    </x:xf>
    <x:xf numFmtId="0" fontId="8" fillId="2" borderId="40" applyNumberFormat="1" applyFill="0" applyBorder="1" applyAlignment="1" applyProtection="1">
      <x:protection locked="0" hidden="0"/>
    </x:xf>
    <x:xf numFmtId="0" fontId="8" fillId="2" borderId="39" applyNumberFormat="1" applyFill="0" applyBorder="1" applyAlignment="1" applyProtection="1">
      <x:protection locked="0" hidden="0"/>
    </x:xf>
    <x:xf numFmtId="0" fontId="8" fillId="2" borderId="38" applyNumberFormat="1" applyFill="0" applyBorder="1" applyAlignment="1" applyProtection="1">
      <x:protection locked="0" hidden="0"/>
    </x:xf>
    <x:xf numFmtId="0" fontId="8" fillId="2" borderId="35" applyNumberFormat="1" applyFill="0" applyBorder="1" applyAlignment="1" applyProtection="1">
      <x:protection locked="0" hidden="0"/>
    </x:xf>
    <x:xf numFmtId="0" fontId="8" fillId="2" borderId="0" applyNumberFormat="1" applyFill="0" applyBorder="0" applyAlignment="1" applyProtection="1">
      <x:protection locked="0" hidden="0"/>
    </x:xf>
    <x:xf numFmtId="0" fontId="8" fillId="2" borderId="23" applyNumberFormat="1" applyFill="0" applyBorder="1" applyAlignment="1" applyProtection="1">
      <x:protection locked="0" hidden="0"/>
    </x:xf>
    <x:xf numFmtId="0" fontId="8" fillId="2" borderId="24" applyNumberFormat="1" applyFill="0" applyBorder="1" applyAlignment="1" applyProtection="1">
      <x:protection locked="0" hidden="0"/>
    </x:xf>
    <x:xf numFmtId="0" fontId="8" fillId="2" borderId="13" applyNumberFormat="1" applyFill="0" applyBorder="1" applyAlignment="1" applyProtection="1">
      <x:protection locked="0" hidden="0"/>
    </x:xf>
    <x:xf numFmtId="0" fontId="8" fillId="2" borderId="25" applyNumberFormat="1" applyFill="0" applyBorder="1" applyAlignment="1" applyProtection="1">
      <x:protection locked="1" hidden="0"/>
    </x:xf>
    <x:xf numFmtId="49" fontId="8" fillId="2" borderId="3" applyNumberFormat="1" applyFill="0" applyBorder="1" applyAlignment="1" applyProtection="1">
      <x:protection locked="0" hidden="0"/>
    </x:xf>
    <x:xf numFmtId="49" fontId="8" fillId="2" borderId="2" applyNumberFormat="1" applyFill="0" applyBorder="1" applyAlignment="1" applyProtection="1">
      <x:protection locked="0" hidden="0"/>
    </x:xf>
    <x:xf numFmtId="49" fontId="8" fillId="2" borderId="1" applyNumberFormat="1" applyFill="0" applyBorder="1" applyAlignment="1" applyProtection="1">
      <x:protection locked="0" hidden="0"/>
    </x:xf>
    <x:xf numFmtId="0" fontId="8" fillId="2" borderId="22" applyNumberFormat="1" applyFill="0" applyBorder="1" applyAlignment="1" applyProtection="1">
      <x:protection locked="0" hidden="0"/>
    </x:xf>
    <x:xf numFmtId="0" fontId="8" fillId="2" borderId="21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2" borderId="28" applyNumberFormat="1" applyFill="0" applyBorder="1" applyAlignment="1" applyProtection="1">
      <x:protection locked="1" hidden="0"/>
    </x:xf>
    <x:xf numFmtId="0" fontId="8" fillId="2" borderId="41" applyNumberFormat="1" applyFill="0" applyBorder="1" applyAlignment="1" applyProtection="1">
      <x:protection locked="1" hidden="0"/>
    </x:xf>
    <x:xf numFmtId="0" fontId="11" fillId="2" borderId="24" applyNumberFormat="1" applyFill="0" applyBorder="1" applyAlignment="1" applyProtection="1">
      <x:protection locked="0" hidden="0"/>
    </x:xf>
    <x:xf numFmtId="0" fontId="11" fillId="2" borderId="0" applyNumberFormat="1" applyFill="0" applyBorder="0" applyAlignment="1" applyProtection="1">
      <x:protection locked="0" hidden="0"/>
    </x:xf>
    <x:xf numFmtId="0" fontId="11" fillId="2" borderId="23" applyNumberFormat="1" applyFill="0" applyBorder="1" applyAlignment="1" applyProtection="1">
      <x:protection locked="0" hidden="0"/>
    </x:xf>
    <x:xf numFmtId="0" fontId="11" fillId="2" borderId="22" applyNumberFormat="1" applyFill="0" applyBorder="1" applyAlignment="1" applyProtection="1">
      <x:protection locked="0" hidden="0"/>
    </x:xf>
    <x:xf numFmtId="0" fontId="11" fillId="2" borderId="21" applyNumberFormat="1" applyFill="0" applyBorder="1" applyAlignment="1" applyProtection="1">
      <x:protection locked="0" hidden="0"/>
    </x:xf>
    <x:xf numFmtId="0" fontId="11" fillId="2" borderId="20" applyNumberFormat="1" applyFill="0" applyBorder="1" applyAlignment="1" applyProtection="1">
      <x:protection locked="0" hidden="0"/>
    </x:xf>
    <x:xf numFmtId="49" fontId="8" fillId="2" borderId="19" applyNumberFormat="1" applyFill="0" applyBorder="1" applyAlignment="1" applyProtection="1">
      <x:protection locked="1" hidden="0"/>
    </x:xf>
    <x:xf numFmtId="49" fontId="8" fillId="2" borderId="16" applyNumberFormat="1" applyFill="0" applyBorder="1" applyAlignment="1" applyProtection="1">
      <x:protection locked="1" hidden="0"/>
    </x:xf>
    <x:xf numFmtId="49" fontId="8" fillId="2" borderId="18" applyNumberFormat="1" applyFill="0" applyBorder="1" applyAlignment="1" applyProtection="1">
      <x:protection locked="1" hidden="0"/>
    </x:xf>
    <x:xf numFmtId="49" fontId="8" fillId="2" borderId="17" applyNumberFormat="1" applyFill="0" applyBorder="1" applyAlignment="1" applyProtection="1">
      <x:protection locked="1" hidden="0"/>
    </x:xf>
    <x:xf numFmtId="49" fontId="8" fillId="2" borderId="11" applyNumberFormat="1" applyFill="0" applyBorder="1" applyAlignment="1" applyProtection="1">
      <x:protection locked="1" hidden="0"/>
    </x:xf>
    <x:xf numFmtId="0" fontId="8" fillId="2" borderId="18" applyNumberFormat="1" applyFill="0" applyBorder="1" applyAlignment="1" applyProtection="1">
      <x:protection locked="0" hidden="0"/>
    </x:xf>
    <x:xf numFmtId="0" fontId="8" fillId="2" borderId="14" applyNumberFormat="1" applyFill="0" applyBorder="1" applyAlignment="1" applyProtection="1">
      <x:protection locked="1" hidden="0"/>
    </x:xf>
    <x:xf numFmtId="14" fontId="8" fillId="2" borderId="12" applyNumberFormat="1" applyFill="0" applyBorder="1" applyAlignment="1" applyProtection="1">
      <x:protection locked="1" hidden="0"/>
    </x:xf>
    <x:xf numFmtId="14" fontId="8" fillId="2" borderId="11" applyNumberFormat="1" applyFill="0" applyBorder="1" applyAlignment="1" applyProtection="1">
      <x:protection locked="1" hidden="0"/>
    </x:xf>
    <x:xf numFmtId="14" fontId="8" fillId="2" borderId="13" applyNumberFormat="1" applyFill="0" applyBorder="1" applyAlignment="1" applyProtection="1">
      <x:protection locked="1" hidden="0"/>
    </x:xf>
    <x:xf numFmtId="49" fontId="8" fillId="2" borderId="12" applyNumberFormat="1" applyFill="0" applyBorder="1" applyAlignment="1" applyProtection="1">
      <x:protection locked="1" hidden="0"/>
    </x:xf>
    <x:xf numFmtId="49" fontId="8" fillId="2" borderId="7" applyNumberFormat="1" applyFill="0" applyBorder="1" applyAlignment="1" applyProtection="1">
      <x:protection locked="1" hidden="0"/>
    </x:xf>
    <x:xf numFmtId="49" fontId="8" fillId="2" borderId="9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14" fontId="8" fillId="2" borderId="8" applyNumberFormat="1" applyFill="0" applyBorder="1" applyAlignment="1" applyProtection="1">
      <x:protection locked="1" hidden="0"/>
    </x:xf>
    <x:xf numFmtId="14" fontId="8" fillId="2" borderId="7" applyNumberFormat="1" applyFill="0" applyBorder="1" applyAlignment="1" applyProtection="1">
      <x:protection locked="1" hidden="0"/>
    </x:xf>
    <x:xf numFmtId="14" fontId="8" fillId="2" borderId="9" applyNumberFormat="1" applyFill="0" applyBorder="1" applyAlignment="1" applyProtection="1">
      <x:protection locked="1" hidden="0"/>
    </x:xf>
    <x:xf numFmtId="49" fontId="8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49" fontId="8" fillId="2" borderId="3" applyNumberFormat="1" applyFill="0" applyBorder="1" applyAlignment="1" applyProtection="1">
      <x:protection locked="1" hidden="0"/>
    </x:xf>
    <x:xf numFmtId="49" fontId="8" fillId="2" borderId="2" applyNumberFormat="1" applyFill="0" applyBorder="1" applyAlignment="1" applyProtection="1">
      <x:protection locked="1" hidden="0"/>
    </x:xf>
    <x:xf numFmtId="49" fontId="8" fillId="2" borderId="4" applyNumberFormat="1" applyFill="0" applyBorder="1" applyAlignment="1" applyProtection="1">
      <x:protection locked="1" hidden="0"/>
    </x:xf>
    <x:xf numFmtId="0" fontId="8" fillId="2" borderId="4" applyNumberFormat="1" applyFill="0" applyBorder="1" applyAlignment="1" applyProtection="1">
      <x:protection locked="0" hidden="0"/>
    </x:xf>
    <x:xf numFmtId="49" fontId="8" fillId="2" borderId="1" applyNumberFormat="1" applyFill="0" applyBorder="1" applyAlignment="1" applyProtection="1">
      <x:protection locked="1" hidden="0"/>
    </x:xf>
  </x:cellStyleXfs>
  <x:cellXfs count="723">
    <x:xf numFmtId="0" fontId="0" fillId="0" borderId="0" xfId="0">
      <x:alignment vertical="center"/>
    </x:xf>
    <x:xf numFmtId="0" fontId="6" fillId="2" borderId="0" xfId="2" applyFont="1" applyFill="1">
      <x:alignment vertical="center"/>
    </x:xf>
    <x:xf numFmtId="0" fontId="6" fillId="2" borderId="0" xfId="2" applyFont="1" applyFill="1" applyAlignment="1">
      <x:alignment horizontal="center" vertical="center"/>
    </x:xf>
    <x:xf numFmtId="49" fontId="8" fillId="2" borderId="9" xfId="3" applyNumberFormat="1" applyFont="1" applyFill="1" applyBorder="1" applyAlignment="1">
      <x:alignment horizontal="center" vertical="center"/>
    </x:xf>
    <x:xf numFmtId="49" fontId="8" fillId="2" borderId="7" xfId="3" applyNumberFormat="1" applyFont="1" applyFill="1" applyBorder="1" applyAlignment="1">
      <x:alignment horizontal="center" vertical="center"/>
    </x:xf>
    <x:xf numFmtId="49" fontId="8" fillId="2" borderId="11" xfId="3" applyNumberFormat="1" applyFont="1" applyFill="1" applyBorder="1" applyAlignment="1">
      <x:alignment horizontal="center" vertical="center"/>
    </x:xf>
    <x:xf numFmtId="49" fontId="8" fillId="2" borderId="12" xfId="3" applyNumberFormat="1" applyFont="1" applyFill="1" applyBorder="1" applyAlignment="1">
      <x:alignment horizontal="center" vertical="center"/>
    </x:xf>
    <x:xf numFmtId="14" fontId="8" fillId="2" borderId="13" xfId="3" applyNumberFormat="1" applyFont="1" applyFill="1" applyBorder="1" applyAlignment="1">
      <x:alignment horizontal="center" vertical="center"/>
    </x:xf>
    <x:xf numFmtId="14" fontId="8" fillId="2" borderId="11" xfId="3" applyNumberFormat="1" applyFont="1" applyFill="1" applyBorder="1" applyAlignment="1">
      <x:alignment horizontal="center" vertical="center"/>
    </x:xf>
    <x:xf numFmtId="14" fontId="8" fillId="2" borderId="12" xfId="3" applyNumberFormat="1" applyFont="1" applyFill="1" applyBorder="1" applyAlignment="1">
      <x:alignment horizontal="center" vertical="center"/>
    </x:xf>
    <x:xf numFmtId="49" fontId="8" fillId="2" borderId="16" xfId="3" applyNumberFormat="1" applyFont="1" applyFill="1" applyBorder="1" applyAlignment="1">
      <x:alignment vertical="center"/>
    </x:xf>
    <x:xf numFmtId="49" fontId="8" fillId="2" borderId="11" xfId="3" applyNumberFormat="1" applyFont="1" applyFill="1" applyBorder="1" applyAlignment="1">
      <x:alignment vertical="center"/>
    </x:xf>
    <x:xf numFmtId="49" fontId="8" fillId="2" borderId="17" xfId="3" applyNumberFormat="1" applyFont="1" applyFill="1" applyBorder="1" applyAlignment="1">
      <x:alignment vertical="center"/>
    </x:xf>
    <x:xf numFmtId="49" fontId="8" fillId="2" borderId="18" xfId="3" applyNumberFormat="1" applyFont="1" applyFill="1" applyBorder="1" applyAlignment="1">
      <x:alignment horizontal="center" vertical="center"/>
    </x:xf>
    <x:xf numFmtId="49" fontId="8" fillId="2" borderId="16" xfId="3" applyNumberFormat="1" applyFont="1" applyFill="1" applyBorder="1" applyAlignment="1">
      <x:alignment horizontal="center" vertical="center"/>
    </x:xf>
    <x:xf numFmtId="0" fontId="8" fillId="2" borderId="16" xfId="4" applyFont="1" applyFill="1" applyBorder="1" applyAlignment="1" applyProtection="1">
      <x:alignment horizontal="left" vertical="center"/>
      <x:protection locked="0"/>
    </x:xf>
    <x:xf numFmtId="49" fontId="8" fillId="2" borderId="17" xfId="3" applyNumberFormat="1" applyFont="1" applyFill="1" applyBorder="1" applyAlignment="1">
      <x:alignment horizontal="center" vertical="center"/>
    </x:xf>
    <x:xf numFmtId="0" fontId="8" fillId="2" borderId="1" xfId="4" applyFont="1" applyFill="1" applyBorder="1" applyAlignment="1" applyProtection="1">
      <x:alignment horizontal="left" vertical="center"/>
      <x:protection locked="0"/>
    </x:xf>
    <x:xf numFmtId="0" fontId="8" fillId="2" borderId="2" xfId="4" applyFont="1" applyFill="1" applyBorder="1" applyAlignment="1" applyProtection="1">
      <x:alignment horizontal="left" vertical="center"/>
      <x:protection locked="0"/>
    </x:xf>
    <x:xf numFmtId="0" fontId="8" fillId="2" borderId="3" xfId="4" applyFont="1" applyFill="1" applyBorder="1" applyAlignment="1" applyProtection="1">
      <x:alignment horizontal="left" vertical="center"/>
      <x:protection locked="0"/>
    </x:xf>
    <x:xf numFmtId="0" fontId="8" fillId="2" borderId="6" xfId="4" applyFont="1" applyFill="1" applyBorder="1" applyAlignment="1" applyProtection="1">
      <x:alignment horizontal="left" vertical="center"/>
      <x:protection locked="0"/>
    </x:xf>
    <x:xf numFmtId="0" fontId="8" fillId="2" borderId="7" xfId="4" applyFont="1" applyFill="1" applyBorder="1" applyAlignment="1" applyProtection="1">
      <x:alignment horizontal="left" vertical="center"/>
      <x:protection locked="0"/>
    </x:xf>
    <x:xf numFmtId="0" fontId="8" fillId="2" borderId="8" xfId="4" applyFont="1" applyFill="1" applyBorder="1" applyAlignment="1" applyProtection="1">
      <x:alignment horizontal="left" vertical="center"/>
      <x:protection locked="0"/>
    </x:xf>
    <x:xf numFmtId="0" fontId="8" fillId="2" borderId="25" xfId="4" applyFont="1" applyFill="1" applyBorder="1" applyAlignment="1" applyProtection="1">
      <x:alignment horizontal="left" vertical="center"/>
      <x:protection locked="0"/>
    </x:xf>
    <x:xf numFmtId="0" fontId="8" fillId="2" borderId="11" xfId="4" applyFont="1" applyFill="1" applyBorder="1" applyAlignment="1" applyProtection="1">
      <x:alignment horizontal="left" vertical="center"/>
      <x:protection locked="0"/>
    </x:xf>
    <x:xf numFmtId="0" fontId="8" fillId="2" borderId="12" xfId="4" applyFont="1" applyFill="1" applyBorder="1" applyAlignment="1" applyProtection="1">
      <x:alignment horizontal="left" vertical="center"/>
      <x:protection locked="0"/>
    </x:xf>
    <x:xf numFmtId="0" fontId="8" fillId="2" borderId="28" xfId="4" applyFont="1" applyFill="1" applyBorder="1" applyAlignment="1">
      <x:alignment vertical="center"/>
    </x:xf>
    <x:xf numFmtId="0" fontId="8" fillId="2" borderId="3" xfId="4" applyFont="1" applyFill="1" applyBorder="1" applyAlignment="1">
      <x:alignment vertical="center"/>
    </x:xf>
    <x:xf numFmtId="0" fontId="8" fillId="2" borderId="13" xfId="4" applyFont="1" applyFill="1" applyBorder="1" applyAlignment="1">
      <x:alignment horizontal="left" vertical="center"/>
    </x:xf>
    <x:xf numFmtId="0" fontId="8" fillId="2" borderId="11" xfId="4" applyFont="1" applyFill="1" applyBorder="1" applyAlignment="1">
      <x:alignment horizontal="left" vertical="center"/>
    </x:xf>
    <x:xf numFmtId="0" fontId="8" fillId="2" borderId="12" xfId="4" applyFont="1" applyFill="1" applyBorder="1" applyAlignment="1">
      <x:alignment vertical="center"/>
    </x:xf>
    <x:xf numFmtId="0" fontId="8" fillId="2" borderId="8" xfId="4" applyFont="1" applyFill="1" applyBorder="1" applyAlignment="1">
      <x:alignment vertical="center"/>
    </x:xf>
    <x:xf numFmtId="0" fontId="8" fillId="2" borderId="7" xfId="4" applyFont="1" applyFill="1" applyBorder="1" applyAlignment="1">
      <x:alignment vertical="center"/>
    </x:xf>
    <x:xf numFmtId="0" fontId="8" fillId="2" borderId="35" xfId="5" applyFont="1" applyFill="1" applyBorder="1" applyAlignment="1" applyProtection="1">
      <x:alignment vertical="center" wrapText="1"/>
      <x:protection locked="0"/>
    </x:xf>
    <x:xf numFmtId="0" fontId="8" fillId="2" borderId="11" xfId="4" applyFont="1" applyFill="1" applyBorder="1" applyAlignment="1">
      <x:alignment vertical="center"/>
    </x:xf>
    <x:xf numFmtId="0" fontId="8" fillId="2" borderId="9" xfId="4" applyFont="1" applyFill="1" applyBorder="1" applyAlignment="1">
      <x:alignment vertical="center"/>
    </x:xf>
    <x:xf numFmtId="0" fontId="8" fillId="2" borderId="7" xfId="4" applyFont="1" applyFill="1" applyBorder="1" applyAlignment="1" applyProtection="1">
      <x:alignment vertical="center"/>
      <x:protection locked="0"/>
    </x:xf>
    <x:xf numFmtId="0" fontId="8" fillId="2" borderId="35" xfId="4" applyFont="1" applyFill="1" applyBorder="1" applyAlignment="1">
      <x:alignment vertical="center"/>
    </x:xf>
    <x:xf numFmtId="0" fontId="6" fillId="2" borderId="41" xfId="2" applyFont="1" applyFill="1" applyBorder="1">
      <x:alignment vertical="center"/>
    </x:xf>
    <x:xf numFmtId="0" fontId="6" fillId="2" borderId="21" xfId="2" applyFont="1" applyFill="1" applyBorder="1">
      <x:alignment vertical="center"/>
    </x:xf>
    <x:xf numFmtId="0" fontId="6" fillId="2" borderId="22" xfId="2" applyFont="1" applyFill="1" applyBorder="1" applyAlignment="1">
      <x:alignment horizontal="center" vertical="center"/>
    </x:xf>
    <x:xf numFmtId="0" fontId="6" fillId="2" borderId="42" xfId="2" applyFont="1" applyFill="1" applyBorder="1">
      <x:alignment vertical="center"/>
    </x:xf>
    <x:xf numFmtId="0" fontId="6" fillId="2" borderId="24" xfId="2" applyFont="1" applyFill="1" applyBorder="1" applyAlignment="1">
      <x:alignment horizontal="center" vertical="center"/>
    </x:xf>
    <x:xf numFmtId="0" fontId="8" fillId="2" borderId="3" xfId="4" applyFont="1" applyFill="1" applyBorder="1" applyAlignment="1">
      <x:alignment horizontal="left" vertical="center"/>
    </x:xf>
    <x:xf numFmtId="0" fontId="8" fillId="2" borderId="12" xfId="4" applyFont="1" applyFill="1" applyBorder="1" applyAlignment="1">
      <x:alignment vertical="center" wrapText="1"/>
    </x:xf>
    <x:xf numFmtId="49" fontId="8" fillId="2" borderId="8" xfId="5" applyNumberFormat="1" applyFont="1" applyFill="1" applyBorder="1" applyAlignment="1" applyProtection="1">
      <x:alignment vertical="center"/>
      <x:protection locked="0"/>
    </x:xf>
    <x:xf numFmtId="0" fontId="8" fillId="2" borderId="45" xfId="4" applyFont="1" applyFill="1" applyBorder="1" applyAlignment="1">
      <x:alignment vertical="center" wrapText="1"/>
    </x:xf>
    <x:xf numFmtId="0" fontId="6" fillId="2" borderId="24" xfId="2" applyFont="1" applyFill="1" applyBorder="1" applyAlignment="1">
      <x:alignment horizontal="left" vertical="center"/>
    </x:xf>
    <x:xf numFmtId="0" fontId="6" fillId="2" borderId="24" xfId="2" applyFont="1" applyFill="1" applyBorder="1">
      <x:alignment vertical="center"/>
    </x:xf>
    <x:xf numFmtId="0" fontId="8" fillId="2" borderId="17" xfId="4" applyFont="1" applyFill="1" applyBorder="1" applyAlignment="1">
      <x:alignment vertical="center"/>
    </x:xf>
    <x:xf numFmtId="0" fontId="8" fillId="2" borderId="45" xfId="4" applyFont="1" applyFill="1" applyBorder="1" applyAlignment="1">
      <x:alignment horizontal="left" vertical="center"/>
    </x:xf>
    <x:xf numFmtId="0" fontId="8" fillId="2" borderId="45" xfId="4" applyFont="1" applyFill="1" applyBorder="1" applyAlignment="1">
      <x:alignment vertical="center"/>
    </x:xf>
    <x:xf numFmtId="0" fontId="19" fillId="2" borderId="3" xfId="6" applyFont="1" applyFill="1" applyBorder="1" applyAlignment="1">
      <x:alignment vertical="center"/>
    </x:xf>
    <x:xf numFmtId="0" fontId="19" fillId="2" borderId="12" xfId="6" applyFont="1" applyFill="1" applyBorder="1" applyAlignment="1">
      <x:alignment vertical="center"/>
    </x:xf>
    <x:xf numFmtId="0" fontId="19" fillId="2" borderId="8" xfId="6" applyFont="1" applyFill="1" applyBorder="1" applyAlignment="1">
      <x:alignment vertical="center"/>
    </x:xf>
    <x:xf numFmtId="0" fontId="19" fillId="2" borderId="45" xfId="6" applyFont="1" applyFill="1" applyBorder="1" applyAlignment="1">
      <x:alignment vertical="center"/>
    </x:xf>
    <x:xf numFmtId="0" fontId="19" fillId="2" borderId="17" xfId="6" applyFont="1" applyFill="1" applyBorder="1" applyAlignment="1">
      <x:alignment vertical="center"/>
    </x:xf>
    <x:xf numFmtId="0" fontId="8" fillId="2" borderId="8" xfId="4" applyFont="1" applyFill="1" applyBorder="1" applyAlignment="1">
      <x:alignment horizontal="left" vertical="center"/>
    </x:xf>
    <x:xf numFmtId="0" fontId="6" fillId="2" borderId="22" xfId="2" applyFont="1" applyFill="1" applyBorder="1">
      <x:alignment vertical="center"/>
    </x:xf>
    <x:xf numFmtId="0" fontId="6" fillId="2" borderId="34" xfId="2" applyFont="1" applyFill="1" applyBorder="1">
      <x:alignment vertical="center"/>
    </x:xf>
    <x:xf numFmtId="0" fontId="8" fillId="2" borderId="50" xfId="4" applyFont="1" applyFill="1" applyBorder="1" applyAlignment="1">
      <x:alignment horizontal="center" vertical="center"/>
    </x:xf>
    <x:xf numFmtId="0" fontId="8" fillId="2" borderId="51" xfId="4" applyFont="1" applyFill="1" applyBorder="1" applyAlignment="1">
      <x:alignment horizontal="center" vertical="center"/>
    </x:xf>
    <x:xf numFmtId="0" fontId="8" fillId="2" borderId="51" xfId="4" applyFont="1" applyFill="1" applyBorder="1" applyAlignment="1">
      <x:alignment vertical="center"/>
    </x:xf>
    <x:xf numFmtId="0" fontId="8" fillId="2" borderId="51" xfId="4" applyFont="1" applyFill="1" applyBorder="1" applyAlignment="1" applyProtection="1">
      <x:alignment horizontal="left" vertical="center"/>
      <x:protection hidden="1"/>
    </x:xf>
    <x:xf numFmtId="0" fontId="24" fillId="2" borderId="51" xfId="4" applyFont="1" applyFill="1" applyBorder="1" applyAlignment="1">
      <x:alignment horizontal="center" vertical="center"/>
    </x:xf>
    <x:xf numFmtId="0" fontId="24" fillId="2" borderId="52" xfId="4" applyFont="1" applyFill="1" applyBorder="1" applyAlignment="1">
      <x:alignment horizontal="center" vertical="center"/>
    </x:xf>
    <x:xf numFmtId="0" fontId="8" fillId="2" borderId="4" xfId="4" applyFont="1" applyFill="1" applyBorder="1" applyAlignment="1">
      <x:alignment vertical="center"/>
    </x:xf>
    <x:xf numFmtId="0" fontId="8" fillId="2" borderId="2" xfId="4" applyFont="1" applyFill="1" applyBorder="1" applyAlignment="1">
      <x:alignment vertical="center"/>
    </x:xf>
    <x:xf numFmtId="0" fontId="6" fillId="2" borderId="53" xfId="2" applyFont="1" applyFill="1" applyBorder="1">
      <x:alignment vertical="center"/>
    </x:xf>
    <x:xf numFmtId="0" fontId="6" fillId="2" borderId="39" xfId="2" applyFont="1" applyFill="1" applyBorder="1">
      <x:alignment vertical="center"/>
    </x:xf>
    <x:xf numFmtId="0" fontId="6" fillId="2" borderId="40" xfId="2" applyFont="1" applyFill="1" applyBorder="1">
      <x:alignment vertical="center"/>
    </x:xf>
    <x:xf numFmtId="0" fontId="2" fillId="0" borderId="0" xfId="7">
      <x:alignment vertical="center"/>
    </x:xf>
    <x:xf numFmtId="0" fontId="7" fillId="2" borderId="0" xfId="7" applyFont="1" applyFill="1">
      <x:alignment vertical="center"/>
    </x:xf>
    <x:xf numFmtId="0" fontId="2" fillId="2" borderId="0" xfId="7" applyFill="1">
      <x:alignment vertical="center"/>
    </x:xf>
    <x:xf numFmtId="0" fontId="14" fillId="2" borderId="34" xfId="7" applyFont="1" applyFill="1" applyBorder="1" applyAlignment="1">
      <x:alignment horizontal="left" vertical="center"/>
    </x:xf>
    <x:xf numFmtId="0" fontId="16" fillId="2" borderId="8" xfId="7" applyFont="1" applyFill="1" applyBorder="1" applyAlignment="1">
      <x:alignment horizontal="left" vertical="center"/>
    </x:xf>
    <x:xf numFmtId="0" fontId="14" fillId="2" borderId="42" xfId="7" applyFont="1" applyFill="1" applyBorder="1">
      <x:alignment vertical="center"/>
    </x:xf>
    <x:xf numFmtId="0" fontId="14" fillId="2" borderId="24" xfId="7" applyFont="1" applyFill="1" applyBorder="1">
      <x:alignment vertical="center"/>
    </x:xf>
    <x:xf numFmtId="0" fontId="16" fillId="2" borderId="34" xfId="7" applyFont="1" applyFill="1" applyBorder="1" applyAlignment="1">
      <x:alignment horizontal="left" vertical="center"/>
    </x:xf>
    <x:xf numFmtId="0" fontId="22" fillId="2" borderId="34" xfId="2" applyFont="1" applyFill="1" applyBorder="1">
      <x:alignment vertical="center"/>
    </x:xf>
    <x:xf numFmtId="0" fontId="8" fillId="2" borderId="16" xfId="4" applyFont="1" applyFill="1" applyBorder="1" applyAlignment="1">
      <x:alignment horizontal="left" vertical="center"/>
    </x:xf>
    <x:xf numFmtId="0" fontId="8" fillId="2" borderId="15" xfId="4" applyFont="1" applyFill="1" applyBorder="1" applyAlignment="1">
      <x:alignment horizontal="left" vertical="center"/>
    </x:xf>
    <x:xf numFmtId="0" fontId="16" fillId="2" borderId="52" xfId="7" applyFont="1" applyFill="1" applyBorder="1" applyAlignment="1">
      <x:alignment horizontal="center" vertical="center"/>
    </x:xf>
    <x:xf numFmtId="0" fontId="16" fillId="2" borderId="51" xfId="7" applyFont="1" applyFill="1" applyBorder="1" applyAlignment="1">
      <x:alignment horizontal="center" vertical="center"/>
    </x:xf>
    <x:xf numFmtId="0" fontId="16" fillId="2" borderId="50" xfId="7" applyFont="1" applyFill="1" applyBorder="1" applyAlignment="1">
      <x:alignment horizontal="center" vertical="center"/>
    </x:xf>
    <x:xf numFmtId="0" fontId="8" fillId="2" borderId="7" xfId="4" applyFont="1" applyFill="1" applyBorder="1" applyAlignment="1">
      <x:alignment horizontal="left" vertical="center"/>
    </x:xf>
    <x:xf numFmtId="0" fontId="8" fillId="2" borderId="6" xfId="4" applyFont="1" applyFill="1" applyBorder="1" applyAlignment="1">
      <x:alignment horizontal="left" vertical="center"/>
    </x:xf>
    <x:xf numFmtId="0" fontId="8" fillId="2" borderId="9" xfId="4" applyFont="1" applyFill="1" applyBorder="1" applyAlignment="1">
      <x:alignment horizontal="left" vertical="center"/>
    </x:xf>
    <x:xf numFmtId="0" fontId="8" fillId="2" borderId="2" xfId="4" applyFont="1" applyFill="1" applyBorder="1" applyAlignment="1" applyProtection="1">
      <x:alignment horizontal="left" vertical="center"/>
      <x:protection hidden="1"/>
    </x:xf>
    <x:xf numFmtId="0" fontId="8" fillId="2" borderId="4" xfId="4" applyFont="1" applyFill="1" applyBorder="1" applyAlignment="1" applyProtection="1">
      <x:alignment horizontal="left" vertical="center"/>
      <x:protection hidden="1"/>
    </x:xf>
    <x:xf numFmtId="0" fontId="8" fillId="2" borderId="2" xfId="4" applyFont="1" applyFill="1" applyBorder="1" applyAlignment="1">
      <x:alignment horizontal="left" vertical="center"/>
    </x:xf>
    <x:xf numFmtId="0" fontId="8" fillId="2" borderId="4" xfId="4" applyFont="1" applyFill="1" applyBorder="1" applyAlignment="1">
      <x:alignment horizontal="left" vertical="center"/>
    </x:xf>
    <x:xf numFmtId="0" fontId="8" fillId="2" borderId="3" xfId="4" applyFont="1" applyFill="1" applyBorder="1" applyAlignment="1">
      <x:alignment horizontal="center" vertical="center"/>
    </x:xf>
    <x:xf numFmtId="0" fontId="8" fillId="2" borderId="2" xfId="4" applyFont="1" applyFill="1" applyBorder="1" applyAlignment="1">
      <x:alignment horizontal="center" vertical="center"/>
    </x:xf>
    <x:xf numFmtId="0" fontId="8" fillId="2" borderId="1" xfId="4" applyFont="1" applyFill="1" applyBorder="1" applyAlignment="1">
      <x:alignment horizontal="center" vertical="center"/>
    </x:xf>
    <x:xf numFmtId="0" fontId="8" fillId="2" borderId="8" xfId="4" applyFont="1" applyFill="1" applyBorder="1" applyAlignment="1">
      <x:alignment horizontal="center" vertical="center"/>
    </x:xf>
    <x:xf numFmtId="0" fontId="8" fillId="2" borderId="7" xfId="4" applyFont="1" applyFill="1" applyBorder="1" applyAlignment="1">
      <x:alignment horizontal="center" vertical="center"/>
    </x:xf>
    <x:xf numFmtId="0" fontId="8" fillId="2" borderId="6" xfId="4" applyFont="1" applyFill="1" applyBorder="1" applyAlignment="1">
      <x:alignment horizontal="center" vertical="center"/>
    </x:xf>
    <x:xf numFmtId="0" fontId="24" fillId="2" borderId="40" xfId="4" applyFont="1" applyFill="1" applyBorder="1" applyAlignment="1">
      <x:alignment horizontal="center" vertical="center"/>
    </x:xf>
    <x:xf numFmtId="0" fontId="24" fillId="2" borderId="39" xfId="4" applyFont="1" applyFill="1" applyBorder="1" applyAlignment="1">
      <x:alignment horizontal="center" vertical="center"/>
    </x:xf>
    <x:xf numFmtId="0" fontId="24" fillId="2" borderId="53" xfId="4" applyFont="1" applyFill="1" applyBorder="1" applyAlignment="1">
      <x:alignment horizontal="center" vertical="center"/>
    </x:xf>
    <x:xf numFmtId="0" fontId="24" fillId="2" borderId="24" xfId="4" applyFont="1" applyFill="1" applyBorder="1" applyAlignment="1">
      <x:alignment horizontal="center" vertical="center"/>
    </x:xf>
    <x:xf numFmtId="0" fontId="24" fillId="2" borderId="0" xfId="4" applyFont="1" applyFill="1" applyAlignment="1">
      <x:alignment horizontal="center" vertical="center"/>
    </x:xf>
    <x:xf numFmtId="0" fontId="24" fillId="2" borderId="42" xfId="4" applyFont="1" applyFill="1" applyBorder="1" applyAlignment="1">
      <x:alignment horizontal="center" vertical="center"/>
    </x:xf>
    <x:xf numFmtId="0" fontId="24" fillId="2" borderId="22" xfId="4" applyFont="1" applyFill="1" applyBorder="1" applyAlignment="1">
      <x:alignment horizontal="center" vertical="center"/>
    </x:xf>
    <x:xf numFmtId="0" fontId="24" fillId="2" borderId="21" xfId="4" applyFont="1" applyFill="1" applyBorder="1" applyAlignment="1">
      <x:alignment horizontal="center" vertical="center"/>
    </x:xf>
    <x:xf numFmtId="0" fontId="24" fillId="2" borderId="41" xfId="4" applyFont="1" applyFill="1" applyBorder="1" applyAlignment="1">
      <x:alignment horizontal="center" vertical="center"/>
    </x:xf>
    <x:xf numFmtId="0" fontId="25" fillId="2" borderId="52" xfId="4" applyFont="1" applyFill="1" applyBorder="1" applyAlignment="1">
      <x:alignment horizontal="center" vertical="center"/>
    </x:xf>
    <x:xf numFmtId="0" fontId="25" fillId="2" borderId="51" xfId="4" applyFont="1" applyFill="1" applyBorder="1" applyAlignment="1">
      <x:alignment horizontal="center" vertical="center"/>
    </x:xf>
    <x:xf numFmtId="0" fontId="25" fillId="2" borderId="54" xfId="4" applyFont="1" applyFill="1" applyBorder="1" applyAlignment="1">
      <x:alignment horizontal="center" vertical="center"/>
    </x:xf>
    <x:xf numFmtId="0" fontId="8" fillId="2" borderId="51" xfId="4" applyFont="1" applyFill="1" applyBorder="1" applyAlignment="1">
      <x:alignment horizontal="center" vertical="center"/>
    </x:xf>
    <x:xf numFmtId="0" fontId="8" fillId="2" borderId="54" xfId="4" applyFont="1" applyFill="1" applyBorder="1" applyAlignment="1">
      <x:alignment horizontal="center" vertical="center"/>
    </x:xf>
    <x:xf numFmtId="0" fontId="8" fillId="2" borderId="50" xfId="4" applyFont="1" applyFill="1" applyBorder="1" applyAlignment="1">
      <x:alignment horizontal="center" vertical="center"/>
    </x:xf>
    <x:xf numFmtId="0" fontId="8" fillId="2" borderId="37" xfId="4" applyFont="1" applyFill="1" applyBorder="1" applyAlignment="1" applyProtection="1">
      <x:alignment horizontal="center" vertical="center"/>
      <x:protection locked="0"/>
    </x:xf>
    <x:xf numFmtId="0" fontId="8" fillId="2" borderId="36" xfId="4" applyFont="1" applyFill="1" applyBorder="1" applyAlignment="1" applyProtection="1">
      <x:alignment horizontal="center" vertical="center"/>
      <x:protection locked="0"/>
    </x:xf>
    <x:xf numFmtId="0" fontId="12" fillId="2" borderId="8" xfId="4" applyFont="1" applyFill="1" applyBorder="1" applyAlignment="1">
      <x:alignment horizontal="center" vertical="center" shrinkToFit="1"/>
    </x:xf>
    <x:xf numFmtId="0" fontId="12" fillId="2" borderId="9" xfId="4" applyFont="1" applyFill="1" applyBorder="1" applyAlignment="1">
      <x:alignment horizontal="center" vertical="center" shrinkToFit="1"/>
    </x:xf>
    <x:xf numFmtId="0" fontId="8" fillId="2" borderId="49" xfId="4" applyFont="1" applyFill="1" applyBorder="1" applyAlignment="1">
      <x:alignment horizontal="center" vertical="center"/>
    </x:xf>
    <x:xf numFmtId="0" fontId="8" fillId="2" borderId="48" xfId="4" applyFont="1" applyFill="1" applyBorder="1" applyAlignment="1">
      <x:alignment horizontal="center" vertical="center"/>
    </x:xf>
    <x:xf numFmtId="0" fontId="8" fillId="2" borderId="47" xfId="4" applyFont="1" applyFill="1" applyBorder="1" applyAlignment="1">
      <x:alignment horizontal="center" vertical="center"/>
    </x:xf>
    <x:xf numFmtId="0" fontId="8" fillId="2" borderId="34" xfId="4" applyFont="1" applyFill="1" applyBorder="1" applyAlignment="1">
      <x:alignment horizontal="center" vertical="center"/>
    </x:xf>
    <x:xf numFmtId="0" fontId="8" fillId="2" borderId="33" xfId="4" applyFont="1" applyFill="1" applyBorder="1" applyAlignment="1">
      <x:alignment horizontal="center" vertical="center"/>
    </x:xf>
    <x:xf numFmtId="0" fontId="11" fillId="2" borderId="40" xfId="4" applyFont="1" applyFill="1" applyBorder="1" applyAlignment="1">
      <x:alignment horizontal="center" vertical="center" textRotation="90"/>
    </x:xf>
    <x:xf numFmtId="0" fontId="11" fillId="2" borderId="39" xfId="4" applyFont="1" applyFill="1" applyBorder="1" applyAlignment="1">
      <x:alignment horizontal="center" vertical="center" textRotation="90"/>
    </x:xf>
    <x:xf numFmtId="0" fontId="11" fillId="2" borderId="38" xfId="4" applyFont="1" applyFill="1" applyBorder="1" applyAlignment="1">
      <x:alignment horizontal="center" vertical="center" textRotation="90"/>
    </x:xf>
    <x:xf numFmtId="0" fontId="11" fillId="2" borderId="24" xfId="4" applyFont="1" applyFill="1" applyBorder="1" applyAlignment="1">
      <x:alignment horizontal="center" vertical="center" textRotation="90"/>
    </x:xf>
    <x:xf numFmtId="0" fontId="11" fillId="2" borderId="0" xfId="4" applyFont="1" applyFill="1" applyAlignment="1">
      <x:alignment horizontal="center" vertical="center" textRotation="90"/>
    </x:xf>
    <x:xf numFmtId="0" fontId="11" fillId="2" borderId="23" xfId="4" applyFont="1" applyFill="1" applyBorder="1" applyAlignment="1">
      <x:alignment horizontal="center" vertical="center" textRotation="90"/>
    </x:xf>
    <x:xf numFmtId="0" fontId="11" fillId="2" borderId="22" xfId="4" applyFont="1" applyFill="1" applyBorder="1" applyAlignment="1">
      <x:alignment horizontal="center" vertical="center" textRotation="90"/>
    </x:xf>
    <x:xf numFmtId="0" fontId="11" fillId="2" borderId="21" xfId="4" applyFont="1" applyFill="1" applyBorder="1" applyAlignment="1">
      <x:alignment horizontal="center" vertical="center" textRotation="90"/>
    </x:xf>
    <x:xf numFmtId="0" fontId="11" fillId="2" borderId="20" xfId="4" applyFont="1" applyFill="1" applyBorder="1" applyAlignment="1">
      <x:alignment horizontal="center" vertical="center" textRotation="90"/>
    </x:xf>
    <x:xf numFmtId="0" fontId="12" fillId="2" borderId="17" xfId="4" applyFont="1" applyFill="1" applyBorder="1" applyAlignment="1">
      <x:alignment horizontal="center" vertical="center" shrinkToFit="1"/>
    </x:xf>
    <x:xf numFmtId="0" fontId="12" fillId="2" borderId="18" xfId="4" applyFont="1" applyFill="1" applyBorder="1" applyAlignment="1">
      <x:alignment horizontal="center" vertical="center" shrinkToFit="1"/>
    </x:xf>
    <x:xf numFmtId="0" fontId="8" fillId="2" borderId="16" xfId="4" applyFont="1" applyFill="1" applyBorder="1" applyAlignment="1">
      <x:alignment horizontal="center" vertical="center"/>
    </x:xf>
    <x:xf numFmtId="0" fontId="8" fillId="2" borderId="18" xfId="4" applyFont="1" applyFill="1" applyBorder="1" applyAlignment="1">
      <x:alignment horizontal="center" vertical="center"/>
    </x:xf>
    <x:xf numFmtId="0" fontId="8" fillId="2" borderId="17" xfId="4" applyFont="1" applyFill="1" applyBorder="1" applyAlignment="1">
      <x:alignment horizontal="center" vertical="center"/>
    </x:xf>
    <x:xf numFmtId="0" fontId="8" fillId="2" borderId="15" xfId="4" applyFont="1" applyFill="1" applyBorder="1" applyAlignment="1">
      <x:alignment horizontal="center" vertical="center"/>
    </x:xf>
    <x:xf numFmtId="0" fontId="12" fillId="2" borderId="8" xfId="4" applyFont="1" applyFill="1" applyBorder="1" applyAlignment="1">
      <x:alignment horizontal="center" vertical="center"/>
    </x:xf>
    <x:xf numFmtId="0" fontId="12" fillId="2" borderId="7" xfId="4" applyFont="1" applyFill="1" applyBorder="1" applyAlignment="1">
      <x:alignment horizontal="center" vertical="center"/>
    </x:xf>
    <x:xf numFmtId="0" fontId="12" fillId="2" borderId="17" xfId="4" applyFont="1" applyFill="1" applyBorder="1" applyAlignment="1">
      <x:alignment horizontal="center" vertical="center"/>
    </x:xf>
    <x:xf numFmtId="0" fontId="12" fillId="2" borderId="16" xfId="4" applyFont="1" applyFill="1" applyBorder="1" applyAlignment="1">
      <x:alignment horizontal="center" vertical="center"/>
    </x:xf>
    <x:xf numFmtId="0" fontId="8" fillId="2" borderId="18" xfId="4" applyFont="1" applyFill="1" applyBorder="1" applyAlignment="1">
      <x:alignment horizontal="left" vertical="center"/>
    </x:xf>
    <x:xf numFmtId="0" fontId="8" fillId="2" borderId="34" xfId="4" applyFont="1" applyFill="1" applyBorder="1" applyAlignment="1" applyProtection="1">
      <x:alignment horizontal="center" vertical="center"/>
      <x:protection locked="0"/>
    </x:xf>
    <x:xf numFmtId="0" fontId="8" fillId="2" borderId="33" xfId="4" applyFont="1" applyFill="1" applyBorder="1" applyAlignment="1" applyProtection="1">
      <x:alignment horizontal="center" vertical="center"/>
      <x:protection locked="0"/>
    </x:xf>
    <x:xf numFmtId="0" fontId="12" fillId="2" borderId="12" xfId="4" applyFont="1" applyFill="1" applyBorder="1" applyAlignment="1">
      <x:alignment horizontal="center" vertical="center"/>
    </x:xf>
    <x:xf numFmtId="0" fontId="12" fillId="2" borderId="11" xfId="4" applyFont="1" applyFill="1" applyBorder="1" applyAlignment="1">
      <x:alignment horizontal="center" vertical="center"/>
    </x:xf>
    <x:xf numFmtId="0" fontId="8" fillId="2" borderId="11" xfId="4" applyFont="1" applyFill="1" applyBorder="1" applyAlignment="1">
      <x:alignment horizontal="left" vertical="center"/>
    </x:xf>
    <x:xf numFmtId="0" fontId="8" fillId="2" borderId="13" xfId="4" applyFont="1" applyFill="1" applyBorder="1" applyAlignment="1">
      <x:alignment horizontal="left" vertical="center"/>
    </x:xf>
    <x:xf numFmtId="0" fontId="12" fillId="2" borderId="3" xfId="4" applyFont="1" applyFill="1" applyBorder="1" applyAlignment="1">
      <x:alignment horizontal="center" vertical="center"/>
    </x:xf>
    <x:xf numFmtId="0" fontId="12" fillId="2" borderId="2" xfId="4" applyFont="1" applyFill="1" applyBorder="1" applyAlignment="1">
      <x:alignment horizontal="center" vertical="center"/>
    </x:xf>
    <x:xf numFmtId="0" fontId="11" fillId="2" borderId="24" xfId="4" applyFont="1" applyFill="1" applyBorder="1" applyAlignment="1">
      <x:alignment horizontal="center" vertical="center" textRotation="90" wrapText="1"/>
    </x:xf>
    <x:xf numFmtId="0" fontId="17" fillId="2" borderId="24" xfId="4" applyFont="1" applyFill="1" applyBorder="1" applyAlignment="1">
      <x:alignment horizontal="center" vertical="center" wrapText="1"/>
    </x:xf>
    <x:xf numFmtId="0" fontId="17" fillId="2" borderId="0" xfId="4" applyFont="1" applyFill="1" applyAlignment="1">
      <x:alignment horizontal="center" vertical="center" wrapText="1"/>
    </x:xf>
    <x:xf numFmtId="0" fontId="17" fillId="2" borderId="23" xfId="4" applyFont="1" applyFill="1" applyBorder="1" applyAlignment="1">
      <x:alignment horizontal="center" vertical="center" wrapText="1"/>
    </x:xf>
    <x:xf numFmtId="0" fontId="17" fillId="2" borderId="22" xfId="4" applyFont="1" applyFill="1" applyBorder="1" applyAlignment="1">
      <x:alignment horizontal="center" vertical="center" wrapText="1"/>
    </x:xf>
    <x:xf numFmtId="0" fontId="17" fillId="2" borderId="21" xfId="4" applyFont="1" applyFill="1" applyBorder="1" applyAlignment="1">
      <x:alignment horizontal="center" vertical="center" wrapText="1"/>
    </x:xf>
    <x:xf numFmtId="0" fontId="17" fillId="2" borderId="20" xfId="4" applyFont="1" applyFill="1" applyBorder="1" applyAlignment="1">
      <x:alignment horizontal="center" vertical="center" wrapText="1"/>
    </x:xf>
    <x:xf numFmtId="0" fontId="8" fillId="2" borderId="34" xfId="4" applyFont="1" applyFill="1" applyBorder="1" applyAlignment="1">
      <x:alignment horizontal="center" vertical="center" shrinkToFit="1"/>
    </x:xf>
    <x:xf numFmtId="0" fontId="8" fillId="2" borderId="30" xfId="4" applyFont="1" applyFill="1" applyBorder="1" applyAlignment="1">
      <x:alignment horizontal="center" vertical="center"/>
    </x:xf>
    <x:xf numFmtId="0" fontId="8" fillId="2" borderId="29" xfId="4" applyFont="1" applyFill="1" applyBorder="1" applyAlignment="1">
      <x:alignment horizontal="center" vertical="center"/>
    </x:xf>
    <x:xf numFmtId="0" fontId="21" fillId="2" borderId="24" xfId="4" applyFont="1" applyFill="1" applyBorder="1" applyAlignment="1">
      <x:alignment horizontal="center" vertical="center" textRotation="90" wrapText="1"/>
    </x:xf>
    <x:xf numFmtId="0" fontId="21" fillId="2" borderId="0" xfId="4" applyFont="1" applyFill="1" applyAlignment="1">
      <x:alignment horizontal="center" vertical="center" textRotation="90" wrapText="1"/>
    </x:xf>
    <x:xf numFmtId="0" fontId="21" fillId="2" borderId="23" xfId="4" applyFont="1" applyFill="1" applyBorder="1" applyAlignment="1">
      <x:alignment horizontal="center" vertical="center" textRotation="90" wrapText="1"/>
    </x:xf>
    <x:xf numFmtId="0" fontId="21" fillId="2" borderId="22" xfId="4" applyFont="1" applyFill="1" applyBorder="1" applyAlignment="1">
      <x:alignment horizontal="center" vertical="center" textRotation="90" wrapText="1"/>
    </x:xf>
    <x:xf numFmtId="0" fontId="21" fillId="2" borderId="21" xfId="4" applyFont="1" applyFill="1" applyBorder="1" applyAlignment="1">
      <x:alignment horizontal="center" vertical="center" textRotation="90" wrapText="1"/>
    </x:xf>
    <x:xf numFmtId="0" fontId="21" fillId="2" borderId="20" xfId="4" applyFont="1" applyFill="1" applyBorder="1" applyAlignment="1">
      <x:alignment horizontal="center" vertical="center" textRotation="90" wrapText="1"/>
    </x:xf>
    <x:xf numFmtId="0" fontId="12" fillId="2" borderId="7" xfId="4" applyFont="1" applyFill="1" applyBorder="1" applyAlignment="1">
      <x:alignment horizontal="center" vertical="center" shrinkToFit="1"/>
    </x:xf>
    <x:xf numFmtId="0" fontId="19" fillId="2" borderId="7" xfId="6" applyFont="1" applyFill="1" applyBorder="1" applyAlignment="1">
      <x:alignment horizontal="left" vertical="center"/>
    </x:xf>
    <x:xf numFmtId="0" fontId="19" fillId="2" borderId="9" xfId="6" applyFont="1" applyFill="1" applyBorder="1" applyAlignment="1">
      <x:alignment horizontal="left" vertical="center"/>
    </x:xf>
    <x:xf numFmtId="0" fontId="19" fillId="2" borderId="8" xfId="6" applyFont="1" applyFill="1" applyBorder="1" applyAlignment="1">
      <x:alignment horizontal="center" vertical="center"/>
    </x:xf>
    <x:xf numFmtId="0" fontId="19" fillId="2" borderId="7" xfId="6" applyFont="1" applyFill="1" applyBorder="1" applyAlignment="1">
      <x:alignment horizontal="center" vertical="center"/>
    </x:xf>
    <x:xf numFmtId="0" fontId="19" fillId="2" borderId="9" xfId="6" applyFont="1" applyFill="1" applyBorder="1" applyAlignment="1">
      <x:alignment horizontal="center" vertical="center"/>
    </x:xf>
    <x:xf numFmtId="0" fontId="8" fillId="2" borderId="34" xfId="4" applyFont="1" applyFill="1" applyBorder="1" applyAlignment="1">
      <x:alignment horizontal="right" vertical="center" indent="4"/>
    </x:xf>
    <x:xf numFmtId="0" fontId="8" fillId="2" borderId="33" xfId="4" applyFont="1" applyFill="1" applyBorder="1" applyAlignment="1">
      <x:alignment horizontal="right" vertical="center" indent="4"/>
    </x:xf>
    <x:xf numFmtId="0" fontId="12" fillId="2" borderId="16" xfId="4" applyFont="1" applyFill="1" applyBorder="1" applyAlignment="1">
      <x:alignment horizontal="center" vertical="center" shrinkToFit="1"/>
    </x:xf>
    <x:xf numFmtId="0" fontId="19" fillId="2" borderId="16" xfId="6" applyFont="1" applyFill="1" applyBorder="1" applyAlignment="1">
      <x:alignment horizontal="left" vertical="center"/>
    </x:xf>
    <x:xf numFmtId="0" fontId="19" fillId="2" borderId="18" xfId="6" applyFont="1" applyFill="1" applyBorder="1" applyAlignment="1">
      <x:alignment horizontal="left" vertical="center"/>
    </x:xf>
    <x:xf numFmtId="0" fontId="19" fillId="2" borderId="17" xfId="6" applyFont="1" applyFill="1" applyBorder="1" applyAlignment="1">
      <x:alignment horizontal="center" vertical="center"/>
    </x:xf>
    <x:xf numFmtId="0" fontId="19" fillId="2" borderId="16" xfId="6" applyFont="1" applyFill="1" applyBorder="1" applyAlignment="1">
      <x:alignment horizontal="center" vertical="center"/>
    </x:xf>
    <x:xf numFmtId="0" fontId="19" fillId="2" borderId="18" xfId="6" applyFont="1" applyFill="1" applyBorder="1" applyAlignment="1">
      <x:alignment horizontal="center" vertical="center"/>
    </x:xf>
    <x:xf numFmtId="0" fontId="8" fillId="2" borderId="37" xfId="4" applyFont="1" applyFill="1" applyBorder="1" applyAlignment="1">
      <x:alignment horizontal="right" vertical="center" indent="4"/>
    </x:xf>
    <x:xf numFmtId="0" fontId="8" fillId="2" borderId="36" xfId="4" applyFont="1" applyFill="1" applyBorder="1" applyAlignment="1">
      <x:alignment horizontal="right" vertical="center" indent="4"/>
    </x:xf>
    <x:xf numFmtId="0" fontId="12" fillId="2" borderId="3" xfId="4" applyFont="1" applyFill="1" applyBorder="1" applyAlignment="1">
      <x:alignment horizontal="center" vertical="center" shrinkToFit="1"/>
    </x:xf>
    <x:xf numFmtId="0" fontId="12" fillId="2" borderId="4" xfId="4" applyFont="1" applyFill="1" applyBorder="1" applyAlignment="1">
      <x:alignment horizontal="center" vertical="center" shrinkToFit="1"/>
    </x:xf>
    <x:xf numFmtId="0" fontId="19" fillId="2" borderId="44" xfId="6" applyFont="1" applyFill="1" applyBorder="1" applyAlignment="1">
      <x:alignment horizontal="left" vertical="center"/>
    </x:xf>
    <x:xf numFmtId="0" fontId="19" fillId="2" borderId="43" xfId="6" applyFont="1" applyFill="1" applyBorder="1" applyAlignment="1">
      <x:alignment horizontal="left" vertical="center"/>
    </x:xf>
    <x:xf numFmtId="0" fontId="19" fillId="2" borderId="11" xfId="6" applyFont="1" applyFill="1" applyBorder="1" applyAlignment="1">
      <x:alignment horizontal="left" vertical="center"/>
    </x:xf>
    <x:xf numFmtId="0" fontId="19" fillId="2" borderId="13" xfId="6" applyFont="1" applyFill="1" applyBorder="1" applyAlignment="1">
      <x:alignment horizontal="left" vertical="center"/>
    </x:xf>
    <x:xf numFmtId="0" fontId="11" fillId="2" borderId="0" xfId="4" applyFont="1" applyFill="1" applyAlignment="1">
      <x:alignment horizontal="center" vertical="center" textRotation="90" wrapText="1"/>
    </x:xf>
    <x:xf numFmtId="0" fontId="11" fillId="2" borderId="23" xfId="4" applyFont="1" applyFill="1" applyBorder="1" applyAlignment="1">
      <x:alignment horizontal="center" vertical="center" textRotation="90" wrapText="1"/>
    </x:xf>
    <x:xf numFmtId="0" fontId="8" fillId="2" borderId="24" xfId="4" applyFont="1" applyFill="1" applyBorder="1" applyAlignment="1">
      <x:alignment horizontal="center" vertical="center" wrapText="1"/>
    </x:xf>
    <x:xf numFmtId="0" fontId="8" fillId="2" borderId="0" xfId="4" applyFont="1" applyFill="1" applyAlignment="1">
      <x:alignment horizontal="center" vertical="center" wrapText="1"/>
    </x:xf>
    <x:xf numFmtId="0" fontId="8" fillId="2" borderId="23" xfId="4" applyFont="1" applyFill="1" applyBorder="1" applyAlignment="1">
      <x:alignment horizontal="center" vertical="center" wrapText="1"/>
    </x:xf>
    <x:xf numFmtId="0" fontId="8" fillId="2" borderId="22" xfId="4" applyFont="1" applyFill="1" applyBorder="1" applyAlignment="1">
      <x:alignment horizontal="center" vertical="center" wrapText="1"/>
    </x:xf>
    <x:xf numFmtId="0" fontId="8" fillId="2" borderId="21" xfId="4" applyFont="1" applyFill="1" applyBorder="1" applyAlignment="1">
      <x:alignment horizontal="center" vertical="center" wrapText="1"/>
    </x:xf>
    <x:xf numFmtId="0" fontId="8" fillId="2" borderId="20" xfId="4" applyFont="1" applyFill="1" applyBorder="1" applyAlignment="1">
      <x:alignment horizontal="center" vertical="center" wrapText="1"/>
    </x:xf>
    <x:xf numFmtId="0" fontId="12" fillId="2" borderId="12" xfId="4" applyFont="1" applyFill="1" applyBorder="1" applyAlignment="1">
      <x:alignment horizontal="center" vertical="center" shrinkToFit="1"/>
    </x:xf>
    <x:xf numFmtId="0" fontId="12" fillId="2" borderId="11" xfId="4" applyFont="1" applyFill="1" applyBorder="1" applyAlignment="1">
      <x:alignment horizontal="center" vertical="center" shrinkToFit="1"/>
    </x:xf>
    <x:xf numFmtId="0" fontId="8" fillId="2" borderId="32" xfId="4" applyFont="1" applyFill="1" applyBorder="1" applyAlignment="1">
      <x:alignment horizontal="center" vertical="center"/>
    </x:xf>
    <x:xf numFmtId="0" fontId="19" fillId="2" borderId="32" xfId="6" applyFont="1" applyFill="1" applyBorder="1" applyAlignment="1">
      <x:alignment horizontal="center" vertical="center"/>
    </x:xf>
    <x:xf numFmtId="0" fontId="19" fillId="2" borderId="31" xfId="6" applyFont="1" applyFill="1" applyBorder="1" applyAlignment="1">
      <x:alignment horizontal="center" vertical="center"/>
    </x:xf>
    <x:xf numFmtId="0" fontId="12" fillId="2" borderId="2" xfId="4" applyFont="1" applyFill="1" applyBorder="1" applyAlignment="1">
      <x:alignment horizontal="center" vertical="center" shrinkToFit="1"/>
    </x:xf>
    <x:xf numFmtId="0" fontId="19" fillId="2" borderId="2" xfId="6" applyFont="1" applyFill="1" applyBorder="1" applyAlignment="1">
      <x:alignment horizontal="left" vertical="center"/>
    </x:xf>
    <x:xf numFmtId="0" fontId="19" fillId="2" borderId="4" xfId="6" applyFont="1" applyFill="1" applyBorder="1" applyAlignment="1">
      <x:alignment horizontal="left" vertical="center"/>
    </x:xf>
    <x:xf numFmtId="0" fontId="19" fillId="2" borderId="30" xfId="6" applyFont="1" applyFill="1" applyBorder="1" applyAlignment="1">
      <x:alignment horizontal="center" vertical="center"/>
    </x:xf>
    <x:xf numFmtId="0" fontId="19" fillId="2" borderId="29" xfId="6" applyFont="1" applyFill="1" applyBorder="1" applyAlignment="1">
      <x:alignment horizontal="center" vertical="center"/>
    </x:xf>
    <x:xf numFmtId="0" fontId="12" fillId="2" borderId="45" xfId="4" applyFont="1" applyFill="1" applyBorder="1" applyAlignment="1">
      <x:alignment horizontal="center" vertical="center"/>
    </x:xf>
    <x:xf numFmtId="0" fontId="12" fillId="2" borderId="44" xfId="4" applyFont="1" applyFill="1" applyBorder="1" applyAlignment="1">
      <x:alignment horizontal="center" vertical="center"/>
    </x:xf>
    <x:xf numFmtId="0" fontId="8" fillId="2" borderId="44" xfId="4" applyFont="1" applyFill="1" applyBorder="1" applyAlignment="1">
      <x:alignment horizontal="left" vertical="center"/>
    </x:xf>
    <x:xf numFmtId="0" fontId="8" fillId="2" borderId="43" xfId="4" applyFont="1" applyFill="1" applyBorder="1" applyAlignment="1">
      <x:alignment horizontal="left" vertical="center"/>
    </x:xf>
    <x:xf numFmtId="0" fontId="8" fillId="2" borderId="7" xfId="4" applyFont="1" applyFill="1" applyBorder="1" applyAlignment="1">
      <x:alignment vertical="center"/>
    </x:xf>
    <x:xf numFmtId="0" fontId="8" fillId="2" borderId="9" xfId="4" applyFont="1" applyFill="1" applyBorder="1" applyAlignment="1">
      <x:alignment vertical="center"/>
    </x:xf>
    <x:xf numFmtId="0" fontId="8" fillId="2" borderId="34" xfId="5" applyFont="1" applyFill="1" applyBorder="1" applyAlignment="1" applyProtection="1">
      <x:alignment horizontal="center" vertical="center"/>
      <x:protection locked="0"/>
    </x:xf>
    <x:xf numFmtId="0" fontId="8" fillId="2" borderId="33" xfId="5" applyFont="1" applyFill="1" applyBorder="1" applyAlignment="1" applyProtection="1">
      <x:alignment horizontal="center" vertical="center"/>
      <x:protection locked="0"/>
    </x:xf>
    <x:xf numFmtId="0" fontId="8" fillId="2" borderId="8" xfId="5" applyFont="1" applyFill="1" applyBorder="1" applyAlignment="1" applyProtection="1">
      <x:alignment horizontal="center" vertical="center"/>
      <x:protection locked="0"/>
    </x:xf>
    <x:xf numFmtId="0" fontId="8" fillId="2" borderId="7" xfId="5" applyFont="1" applyFill="1" applyBorder="1" applyAlignment="1" applyProtection="1">
      <x:alignment horizontal="center" vertical="center"/>
      <x:protection locked="0"/>
    </x:xf>
    <x:xf numFmtId="0" fontId="8" fillId="2" borderId="6" xfId="5" applyFont="1" applyFill="1" applyBorder="1" applyAlignment="1" applyProtection="1">
      <x:alignment horizontal="center" vertical="center"/>
      <x:protection locked="0"/>
    </x:xf>
    <x:xf numFmtId="0" fontId="8" fillId="2" borderId="39" xfId="4" applyFont="1" applyFill="1" applyBorder="1" applyAlignment="1">
      <x:alignment horizontal="left" vertical="center"/>
    </x:xf>
    <x:xf numFmtId="0" fontId="8" fillId="2" borderId="38" xfId="4" applyFont="1" applyFill="1" applyBorder="1" applyAlignment="1">
      <x:alignment horizontal="left" vertical="center"/>
    </x:xf>
    <x:xf numFmtId="0" fontId="8" fillId="2" borderId="37" xfId="5" applyFont="1" applyFill="1" applyBorder="1" applyAlignment="1" applyProtection="1">
      <x:alignment horizontal="center" vertical="center"/>
      <x:protection locked="0"/>
    </x:xf>
    <x:xf numFmtId="0" fontId="8" fillId="2" borderId="36" xfId="5" applyFont="1" applyFill="1" applyBorder="1" applyAlignment="1" applyProtection="1">
      <x:alignment horizontal="center" vertical="center"/>
      <x:protection locked="0"/>
    </x:xf>
    <x:xf numFmtId="0" fontId="11" fillId="2" borderId="40" xfId="4" applyFont="1" applyFill="1" applyBorder="1" applyAlignment="1">
      <x:alignment horizontal="center" vertical="center" textRotation="90" wrapText="1"/>
    </x:xf>
    <x:xf numFmtId="0" fontId="11" fillId="2" borderId="39" xfId="4" applyFont="1" applyFill="1" applyBorder="1" applyAlignment="1">
      <x:alignment horizontal="center" vertical="center" textRotation="90" wrapText="1"/>
    </x:xf>
    <x:xf numFmtId="0" fontId="11" fillId="2" borderId="38" xfId="4" applyFont="1" applyFill="1" applyBorder="1" applyAlignment="1">
      <x:alignment horizontal="center" vertical="center" textRotation="90" wrapText="1"/>
    </x:xf>
    <x:xf numFmtId="0" fontId="11" fillId="2" borderId="22" xfId="4" applyFont="1" applyFill="1" applyBorder="1" applyAlignment="1">
      <x:alignment horizontal="center" vertical="center" textRotation="90" wrapText="1"/>
    </x:xf>
    <x:xf numFmtId="0" fontId="11" fillId="2" borderId="21" xfId="4" applyFont="1" applyFill="1" applyBorder="1" applyAlignment="1">
      <x:alignment horizontal="center" vertical="center" textRotation="90" wrapText="1"/>
    </x:xf>
    <x:xf numFmtId="0" fontId="11" fillId="2" borderId="20" xfId="4" applyFont="1" applyFill="1" applyBorder="1" applyAlignment="1">
      <x:alignment horizontal="center" vertical="center" textRotation="90" wrapText="1"/>
    </x:xf>
    <x:xf numFmtId="49" fontId="8" fillId="2" borderId="7" xfId="5" applyNumberFormat="1" applyFont="1" applyFill="1" applyBorder="1" applyAlignment="1" applyProtection="1">
      <x:alignment vertical="center"/>
      <x:protection locked="0"/>
    </x:xf>
    <x:xf numFmtId="49" fontId="8" fillId="2" borderId="9" xfId="5" applyNumberFormat="1" applyFont="1" applyFill="1" applyBorder="1" applyAlignment="1" applyProtection="1">
      <x:alignment vertical="center"/>
      <x:protection locked="0"/>
    </x:xf>
    <x:xf numFmtId="49" fontId="8" fillId="2" borderId="34" xfId="5" applyNumberFormat="1" applyFont="1" applyFill="1" applyBorder="1" applyAlignment="1" applyProtection="1">
      <x:alignment horizontal="center" vertical="center"/>
      <x:protection locked="0"/>
    </x:xf>
    <x:xf numFmtId="49" fontId="8" fillId="2" borderId="33" xfId="5" applyNumberFormat="1" applyFont="1" applyFill="1" applyBorder="1" applyAlignment="1" applyProtection="1">
      <x:alignment horizontal="center" vertical="center"/>
      <x:protection locked="0"/>
    </x:xf>
    <x:xf numFmtId="49" fontId="8" fillId="2" borderId="7" xfId="5" applyNumberFormat="1" applyFont="1" applyFill="1" applyBorder="1" applyAlignment="1" applyProtection="1">
      <x:alignment horizontal="center" vertical="center"/>
      <x:protection locked="0"/>
    </x:xf>
    <x:xf numFmtId="49" fontId="8" fillId="2" borderId="6" xfId="5" applyNumberFormat="1" applyFont="1" applyFill="1" applyBorder="1" applyAlignment="1" applyProtection="1">
      <x:alignment horizontal="center" vertical="center"/>
      <x:protection locked="0"/>
    </x:xf>
    <x:xf numFmtId="0" fontId="8" fillId="2" borderId="7" xfId="4" applyFont="1" applyFill="1" applyBorder="1" applyAlignment="1" applyProtection="1">
      <x:alignment horizontal="left" vertical="center"/>
      <x:protection locked="0"/>
    </x:xf>
    <x:xf numFmtId="0" fontId="8" fillId="2" borderId="9" xfId="4" applyFont="1" applyFill="1" applyBorder="1" applyAlignment="1" applyProtection="1">
      <x:alignment horizontal="left" vertical="center"/>
      <x:protection locked="0"/>
    </x:xf>
    <x:xf numFmtId="0" fontId="15" fillId="2" borderId="24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0" xfId="4" applyFont="1" applyFill="1" applyBorder="1" applyAlignment="1">
      <x:alignment horizontal="center" vertical="center" wrapText="1"/>
    </x:xf>
    <x:xf numFmtId="0" fontId="8" fillId="2" borderId="0" xfId="4" applyFont="1" applyFill="1" applyAlignment="1">
      <x:alignment horizontal="left" vertical="center"/>
    </x:xf>
    <x:xf numFmtId="0" fontId="8" fillId="2" borderId="23" xfId="4" applyFont="1" applyFill="1" applyBorder="1" applyAlignment="1">
      <x:alignment horizontal="left" vertical="center"/>
    </x:xf>
    <x:xf numFmtId="1" fontId="8" fillId="2" borderId="34" xfId="5" applyNumberFormat="1" applyFont="1" applyFill="1" applyBorder="1" applyAlignment="1" applyProtection="1">
      <x:alignment horizontal="center" vertical="center"/>
      <x:protection locked="0"/>
    </x:xf>
    <x:xf numFmtId="1" fontId="8" fillId="2" borderId="33" xfId="5" applyNumberFormat="1" applyFont="1" applyFill="1" applyBorder="1" applyAlignment="1" applyProtection="1">
      <x:alignment horizontal="center" vertical="center"/>
      <x:protection locked="0"/>
    </x:xf>
    <x:xf numFmtId="0" fontId="8" fillId="2" borderId="40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24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0" xfId="5" applyFont="1" applyFill="1" applyAlignment="1" applyProtection="1">
      <x:alignment horizontal="center" vertical="center" textRotation="90" shrinkToFit="1"/>
      <x:protection locked="0"/>
    </x:xf>
    <x:xf numFmtId="0" fontId="8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22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8" fillId="2" borderId="0" xfId="5" applyFont="1" applyFill="1" applyAlignment="1" applyProtection="1">
      <x:alignment horizontal="left" vertical="center" wrapText="1"/>
      <x:protection locked="0"/>
    </x:xf>
    <x:xf numFmtId="0" fontId="8" fillId="2" borderId="23" xfId="5" applyFont="1" applyFill="1" applyBorder="1" applyAlignment="1" applyProtection="1">
      <x:alignment horizontal="left" vertical="center" wrapText="1"/>
      <x:protection locked="0"/>
    </x:xf>
    <x:xf numFmtId="0" fontId="8" fillId="2" borderId="11" xfId="5" applyFont="1" applyFill="1" applyBorder="1" applyAlignment="1" applyProtection="1">
      <x:alignment horizontal="left" vertical="center" wrapText="1"/>
      <x:protection locked="0"/>
    </x:xf>
    <x:xf numFmtId="0" fontId="8" fillId="2" borderId="13" xfId="5" applyFont="1" applyFill="1" applyBorder="1" applyAlignment="1" applyProtection="1">
      <x:alignment horizontal="left" vertical="center" wrapText="1"/>
      <x:protection locked="0"/>
    </x:xf>
    <x:xf numFmtId="49" fontId="13" fillId="2" borderId="34" xfId="5" applyNumberFormat="1" applyFont="1" applyFill="1" applyBorder="1" applyAlignment="1" applyProtection="1">
      <x:alignment horizontal="center" vertical="center"/>
      <x:protection locked="0"/>
    </x:xf>
    <x:xf numFmtId="0" fontId="8" fillId="2" borderId="31" xfId="4" applyFont="1" applyFill="1" applyBorder="1" applyAlignment="1">
      <x:alignment horizontal="center" vertical="center"/>
    </x:xf>
    <x:xf numFmtId="49" fontId="8" fillId="2" borderId="30" xfId="5" applyNumberFormat="1" applyFont="1" applyFill="1" applyBorder="1" applyAlignment="1" applyProtection="1">
      <x:alignment horizontal="center" vertical="center"/>
      <x:protection locked="0"/>
    </x:xf>
    <x:xf numFmtId="49" fontId="8" fillId="2" borderId="29" xfId="5" applyNumberFormat="1" applyFont="1" applyFill="1" applyBorder="1" applyAlignment="1" applyProtection="1">
      <x:alignment horizontal="center" vertical="center"/>
      <x:protection locked="0"/>
    </x:xf>
    <x:xf numFmtId="0" fontId="8" fillId="2" borderId="21" xfId="4" applyFont="1" applyFill="1" applyBorder="1" applyAlignment="1">
      <x:alignment horizontal="left" vertical="center"/>
    </x:xf>
    <x:xf numFmtId="0" fontId="8" fillId="2" borderId="20" xfId="4" applyFont="1" applyFill="1" applyBorder="1" applyAlignment="1">
      <x:alignment horizontal="left" vertical="center"/>
    </x:xf>
    <x:xf numFmtId="0" fontId="8" fillId="2" borderId="27" xfId="4" applyFont="1" applyFill="1" applyBorder="1" applyAlignment="1">
      <x:alignment horizontal="center" vertical="center"/>
    </x:xf>
    <x:xf numFmtId="0" fontId="8" fillId="2" borderId="26" xfId="4" applyFont="1" applyFill="1" applyBorder="1" applyAlignment="1">
      <x:alignment horizontal="center" vertical="center"/>
    </x:xf>
    <x:xf numFmtId="0" fontId="11" fillId="2" borderId="24" xfId="4" applyFont="1" applyFill="1" applyBorder="1" applyAlignment="1" applyProtection="1">
      <x:alignment horizontal="center" vertical="center" textRotation="90"/>
      <x:protection locked="0"/>
    </x:xf>
    <x:xf numFmtId="0" fontId="11" fillId="2" borderId="0" xfId="4" applyFont="1" applyFill="1" applyAlignment="1" applyProtection="1">
      <x:alignment horizontal="center" vertical="center" textRotation="90"/>
      <x:protection locked="0"/>
    </x:xf>
    <x:xf numFmtId="0" fontId="11" fillId="2" borderId="23" xfId="4" applyFont="1" applyFill="1" applyBorder="1" applyAlignment="1" applyProtection="1">
      <x:alignment horizontal="center" vertical="center" textRotation="90"/>
      <x:protection locked="0"/>
    </x:xf>
    <x:xf numFmtId="0" fontId="11" fillId="2" borderId="22" xfId="4" applyFont="1" applyFill="1" applyBorder="1" applyAlignment="1" applyProtection="1">
      <x:alignment horizontal="center" vertical="center" textRotation="90"/>
      <x:protection locked="0"/>
    </x:xf>
    <x:xf numFmtId="0" fontId="11" fillId="2" borderId="21" xfId="4" applyFont="1" applyFill="1" applyBorder="1" applyAlignment="1" applyProtection="1">
      <x:alignment horizontal="center" vertical="center" textRotation="90"/>
      <x:protection locked="0"/>
    </x:xf>
    <x:xf numFmtId="0" fontId="11" fillId="2" borderId="20" xfId="4" applyFont="1" applyFill="1" applyBorder="1" applyAlignment="1" applyProtection="1">
      <x:alignment horizontal="center" vertical="center" textRotation="90"/>
      <x:protection locked="0"/>
    </x:xf>
    <x:xf numFmtId="49" fontId="8" fillId="2" borderId="19" xfId="3" applyNumberFormat="1" applyFont="1" applyFill="1" applyBorder="1" applyAlignment="1">
      <x:alignment horizontal="center" vertical="center"/>
    </x:xf>
    <x:xf numFmtId="49" fontId="8" fillId="2" borderId="16" xfId="3" applyNumberFormat="1" applyFont="1" applyFill="1" applyBorder="1" applyAlignment="1">
      <x:alignment horizontal="center" vertical="center"/>
    </x:xf>
    <x:xf numFmtId="49" fontId="8" fillId="2" borderId="18" xfId="3" applyNumberFormat="1" applyFont="1" applyFill="1" applyBorder="1" applyAlignment="1">
      <x:alignment horizontal="center" vertical="center"/>
    </x:xf>
    <x:xf numFmtId="0" fontId="8" fillId="2" borderId="17" xfId="4" applyFont="1" applyFill="1" applyBorder="1" applyAlignment="1" applyProtection="1">
      <x:alignment horizontal="center" vertical="center"/>
      <x:protection locked="0"/>
    </x:xf>
    <x:xf numFmtId="0" fontId="8" fillId="2" borderId="16" xfId="4" applyFont="1" applyFill="1" applyBorder="1" applyAlignment="1" applyProtection="1">
      <x:alignment horizontal="center" vertical="center"/>
      <x:protection locked="0"/>
    </x:xf>
    <x:xf numFmtId="0" fontId="8" fillId="2" borderId="18" xfId="4" applyFont="1" applyFill="1" applyBorder="1" applyAlignment="1" applyProtection="1">
      <x:alignment horizontal="center" vertical="center"/>
      <x:protection locked="0"/>
    </x:xf>
    <x:xf numFmtId="0" fontId="8" fillId="2" borderId="15" xfId="4" applyFont="1" applyFill="1" applyBorder="1" applyAlignment="1" applyProtection="1">
      <x:alignment horizontal="center" vertical="center"/>
      <x:protection locked="0"/>
    </x:xf>
    <x:xf numFmtId="0" fontId="8" fillId="2" borderId="14" xfId="7" applyFont="1" applyFill="1" applyBorder="1" applyAlignment="1">
      <x:alignment horizontal="center" vertical="center"/>
    </x:xf>
    <x:xf numFmtId="0" fontId="8" fillId="2" borderId="11" xfId="7" applyFont="1" applyFill="1" applyBorder="1" applyAlignment="1">
      <x:alignment horizontal="center" vertical="center"/>
    </x:xf>
    <x:xf numFmtId="0" fontId="8" fillId="2" borderId="13" xfId="7" applyFont="1" applyFill="1" applyBorder="1" applyAlignment="1">
      <x:alignment horizontal="center" vertical="center"/>
    </x:xf>
    <x:xf numFmtId="0" fontId="8" fillId="2" borderId="8" xfId="4" applyFont="1" applyFill="1" applyBorder="1" applyAlignment="1" applyProtection="1">
      <x:alignment horizontal="center" vertical="center"/>
      <x:protection locked="0"/>
    </x:xf>
    <x:xf numFmtId="0" fontId="8" fillId="2" borderId="7" xfId="4" applyFont="1" applyFill="1" applyBorder="1" applyAlignment="1" applyProtection="1">
      <x:alignment horizontal="center" vertical="center"/>
      <x:protection locked="0"/>
    </x:xf>
    <x:xf numFmtId="0" fontId="8" fillId="2" borderId="9" xfId="4" applyFont="1" applyFill="1" applyBorder="1" applyAlignment="1" applyProtection="1">
      <x:alignment horizontal="center" vertical="center"/>
      <x:protection locked="0"/>
    </x:xf>
    <x:xf numFmtId="0" fontId="8" fillId="2" borderId="6" xfId="4" applyFont="1" applyFill="1" applyBorder="1" applyAlignment="1" applyProtection="1">
      <x:alignment horizontal="center" vertical="center"/>
      <x:protection locked="0"/>
    </x:xf>
    <x:xf numFmtId="0" fontId="8" fillId="2" borderId="10" xfId="7" applyFont="1" applyFill="1" applyBorder="1" applyAlignment="1">
      <x:alignment horizontal="center" vertical="center"/>
    </x:xf>
    <x:xf numFmtId="0" fontId="8" fillId="2" borderId="7" xfId="7" applyFont="1" applyFill="1" applyBorder="1" applyAlignment="1">
      <x:alignment horizontal="center" vertical="center"/>
    </x:xf>
    <x:xf numFmtId="0" fontId="8" fillId="2" borderId="9" xfId="7" applyFont="1" applyFill="1" applyBorder="1" applyAlignment="1">
      <x:alignment horizontal="center" vertical="center"/>
    </x:xf>
    <x:xf numFmtId="14" fontId="8" fillId="2" borderId="8" xfId="3" applyNumberFormat="1" applyFont="1" applyFill="1" applyBorder="1" applyAlignment="1">
      <x:alignment horizontal="center" vertical="center"/>
    </x:xf>
    <x:xf numFmtId="14" fontId="8" fillId="2" borderId="7" xfId="3" applyNumberFormat="1" applyFont="1" applyFill="1" applyBorder="1" applyAlignment="1">
      <x:alignment horizontal="center" vertical="center"/>
    </x:xf>
    <x:xf numFmtId="14" fontId="8" fillId="2" borderId="9" xfId="3" applyNumberFormat="1" applyFont="1" applyFill="1" applyBorder="1" applyAlignment="1">
      <x:alignment horizontal="center" vertical="center"/>
    </x:xf>
    <x:xf numFmtId="49" fontId="8" fillId="2" borderId="8" xfId="3" applyNumberFormat="1" applyFont="1" applyFill="1" applyBorder="1" applyAlignment="1">
      <x:alignment horizontal="center" vertical="center"/>
    </x:xf>
    <x:xf numFmtId="49" fontId="8" fillId="2" borderId="7" xfId="3" applyNumberFormat="1" applyFont="1" applyFill="1" applyBorder="1" applyAlignment="1">
      <x:alignment horizontal="center" vertical="center"/>
    </x:xf>
    <x:xf numFmtId="49" fontId="8" fillId="2" borderId="9" xfId="3" applyNumberFormat="1" applyFont="1" applyFill="1" applyBorder="1" applyAlignment="1">
      <x:alignment horizontal="center" vertical="center"/>
    </x:xf>
    <x:xf numFmtId="0" fontId="8" fillId="2" borderId="5" xfId="7" applyFont="1" applyFill="1" applyBorder="1" applyAlignment="1">
      <x:alignment horizontal="center" vertical="center"/>
    </x:xf>
    <x:xf numFmtId="0" fontId="8" fillId="2" borderId="2" xfId="7" applyFont="1" applyFill="1" applyBorder="1" applyAlignment="1">
      <x:alignment horizontal="center" vertical="center"/>
    </x:xf>
    <x:xf numFmtId="0" fontId="8" fillId="2" borderId="4" xfId="7" applyFont="1" applyFill="1" applyBorder="1" applyAlignment="1">
      <x:alignment horizontal="center" vertical="center"/>
    </x:xf>
    <x:xf numFmtId="49" fontId="8" fillId="2" borderId="3" xfId="3" applyNumberFormat="1" applyFont="1" applyFill="1" applyBorder="1" applyAlignment="1">
      <x:alignment horizontal="center" vertical="center"/>
    </x:xf>
    <x:xf numFmtId="49" fontId="8" fillId="2" borderId="2" xfId="3" applyNumberFormat="1" applyFont="1" applyFill="1" applyBorder="1" applyAlignment="1">
      <x:alignment horizontal="center" vertical="center"/>
    </x:xf>
    <x:xf numFmtId="49" fontId="8" fillId="2" borderId="4" xfId="3" applyNumberFormat="1" applyFont="1" applyFill="1" applyBorder="1" applyAlignment="1">
      <x:alignment horizontal="center" vertical="center"/>
    </x:xf>
    <x:xf numFmtId="0" fontId="8" fillId="2" borderId="3" xfId="4" applyFont="1" applyFill="1" applyBorder="1" applyAlignment="1" applyProtection="1">
      <x:alignment horizontal="center" vertical="center"/>
      <x:protection locked="0"/>
    </x:xf>
    <x:xf numFmtId="0" fontId="8" fillId="2" borderId="2" xfId="4" applyFont="1" applyFill="1" applyBorder="1" applyAlignment="1" applyProtection="1">
      <x:alignment horizontal="center" vertical="center"/>
      <x:protection locked="0"/>
    </x:xf>
    <x:xf numFmtId="0" fontId="8" fillId="2" borderId="4" xfId="4" applyFont="1" applyFill="1" applyBorder="1" applyAlignment="1" applyProtection="1">
      <x:alignment horizontal="center" vertical="center"/>
      <x:protection locked="0"/>
    </x:xf>
    <x:xf numFmtId="49" fontId="8" fillId="2" borderId="1" xfId="3" applyNumberFormat="1" applyFont="1" applyFill="1" applyBorder="1" applyAlignment="1">
      <x:alignment horizontal="center" vertical="center"/>
    </x:xf>
    <x:xf numFmtId="0" fontId="27" fillId="0" borderId="11" xfId="8" applyFont="1" applyBorder="1" applyAlignment="1">
      <x:alignment horizontal="left" vertical="center"/>
    </x:xf>
    <x:xf numFmtId="0" fontId="27" fillId="0" borderId="0" xfId="8" applyFont="1" applyAlignment="1">
      <x:alignment horizontal="left" vertical="center"/>
    </x:xf>
    <x:xf numFmtId="0" fontId="27" fillId="0" borderId="0" xfId="8" applyFont="1" applyAlignment="1">
      <x:alignment horizontal="left" vertical="center"/>
    </x:xf>
    <x:xf numFmtId="0" fontId="26" fillId="0" borderId="0" xfId="8" applyAlignment="1">
      <x:alignment vertical="center"/>
    </x:xf>
    <x:xf numFmtId="0" fontId="29" fillId="3" borderId="34" xfId="8" applyFont="1" applyFill="1" applyBorder="1" applyAlignment="1">
      <x:alignment horizontal="center" vertical="center" shrinkToFit="1"/>
    </x:xf>
    <x:xf numFmtId="0" fontId="29" fillId="3" borderId="34" xfId="8" applyFont="1" applyFill="1" applyBorder="1" applyAlignment="1">
      <x:alignment horizontal="center" vertical="center"/>
    </x:xf>
    <x:xf numFmtId="0" fontId="29" fillId="3" borderId="8" xfId="8" applyFont="1" applyFill="1" applyBorder="1" applyAlignment="1">
      <x:alignment horizontal="center" vertical="center"/>
    </x:xf>
    <x:xf numFmtId="0" fontId="29" fillId="3" borderId="7" xfId="8" applyFont="1" applyFill="1" applyBorder="1" applyAlignment="1">
      <x:alignment horizontal="center" vertical="center"/>
    </x:xf>
    <x:xf numFmtId="0" fontId="29" fillId="3" borderId="9" xfId="8" applyFont="1" applyFill="1" applyBorder="1" applyAlignment="1">
      <x:alignment horizontal="center" vertical="center"/>
    </x:xf>
    <x:xf numFmtId="0" fontId="29" fillId="3" borderId="34" xfId="8" applyFont="1" applyFill="1" applyBorder="1" applyAlignment="1">
      <x:alignment horizontal="center" vertical="center"/>
    </x:xf>
    <x:xf numFmtId="0" fontId="29" fillId="3" borderId="34" xfId="8" applyFont="1" applyFill="1" applyBorder="1" applyAlignment="1">
      <x:alignment horizontal="center" vertical="center" shrinkToFit="1"/>
    </x:xf>
    <x:xf numFmtId="0" fontId="29" fillId="3" borderId="34" xfId="8" applyFont="1" applyFill="1" applyBorder="1" applyAlignment="1">
      <x:alignment horizontal="center" shrinkToFit="1"/>
    </x:xf>
    <x:xf numFmtId="0" fontId="29" fillId="3" borderId="34" xfId="8" applyFont="1" applyFill="1" applyBorder="1" applyAlignment="1">
      <x:alignment horizontal="center" vertical="center" wrapText="1" shrinkToFit="1"/>
    </x:xf>
    <x:xf numFmtId="0" fontId="26" fillId="4" borderId="34" xfId="8" applyFill="1" applyBorder="1" applyAlignment="1">
      <x:alignment horizontal="left" vertical="center"/>
    </x:xf>
    <x:xf numFmtId="0" fontId="26" fillId="0" borderId="34" xfId="8" applyBorder="1" applyAlignment="1">
      <x:alignment horizontal="center" vertical="center" shrinkToFit="1"/>
    </x:xf>
    <x:xf numFmtId="0" fontId="30" fillId="5" borderId="34" xfId="9" applyFont="1" applyFill="1" applyBorder="1" applyAlignment="1">
      <x:alignment horizontal="center" vertical="center" shrinkToFit="1"/>
    </x:xf>
    <x:xf numFmtId="176" fontId="26" fillId="5" borderId="34" xfId="8" applyNumberFormat="1" applyFill="1" applyBorder="1" applyAlignment="1">
      <x:alignment horizontal="left" vertical="center"/>
    </x:xf>
    <x:xf numFmtId="176" fontId="26" fillId="0" borderId="34" xfId="8" applyNumberFormat="1" applyBorder="1" applyAlignment="1">
      <x:alignment horizontal="center" vertical="center"/>
    </x:xf>
    <x:xf numFmtId="176" fontId="26" fillId="0" borderId="34" xfId="8" applyNumberFormat="1" applyBorder="1" applyAlignment="1">
      <x:alignment horizontal="center" vertical="center" shrinkToFit="1"/>
    </x:xf>
    <x:xf numFmtId="0" fontId="30" fillId="6" borderId="34" xfId="9" applyFont="1" applyFill="1" applyBorder="1" applyAlignment="1">
      <x:alignment horizontal="center" vertical="center" shrinkToFit="1"/>
    </x:xf>
    <x:xf numFmtId="0" fontId="26" fillId="4" borderId="34" xfId="8" applyFill="1" applyBorder="1" applyAlignment="1">
      <x:alignment vertical="center"/>
    </x:xf>
    <x:xf numFmtId="0" fontId="26" fillId="0" borderId="34" xfId="8" applyBorder="1" applyAlignment="1">
      <x:alignment horizontal="center" vertical="center"/>
    </x:xf>
    <x:xf numFmtId="0" fontId="26" fillId="5" borderId="34" xfId="8" applyFill="1" applyBorder="1" applyAlignment="1">
      <x:alignment vertical="center"/>
    </x:xf>
    <x:xf numFmtId="0" fontId="30" fillId="6" borderId="34" xfId="9" applyFont="1" applyFill="1" applyBorder="1" applyAlignment="1">
      <x:alignment horizontal="center" vertical="center"/>
    </x:xf>
    <x:xf numFmtId="0" fontId="29" fillId="3" borderId="46" xfId="8" applyFont="1" applyFill="1" applyBorder="1" applyAlignment="1">
      <x:alignment horizontal="center" vertical="center"/>
    </x:xf>
    <x:xf numFmtId="0" fontId="29" fillId="3" borderId="55" xfId="8" applyFont="1" applyFill="1" applyBorder="1" applyAlignment="1">
      <x:alignment horizontal="center" vertical="center"/>
    </x:xf>
    <x:xf numFmtId="0" fontId="29" fillId="3" borderId="32" xfId="8" applyFont="1" applyFill="1" applyBorder="1" applyAlignment="1">
      <x:alignment horizontal="center" vertical="center"/>
    </x:xf>
    <x:xf numFmtId="0" fontId="30" fillId="5" borderId="34" xfId="9" applyFont="1" applyFill="1" applyBorder="1" applyAlignment="1">
      <x:alignment horizontal="center" vertical="center"/>
    </x:xf>
    <x:xf numFmtId="0" fontId="26" fillId="5" borderId="34" xfId="8" applyFill="1" applyBorder="1" applyAlignment="1">
      <x:alignment horizontal="center" vertical="center"/>
    </x:xf>
    <x:xf numFmtId="0" fontId="29" fillId="0" borderId="0" xfId="8" applyFont="1" applyAlignment="1">
      <x:alignment vertical="center"/>
    </x:xf>
    <x:xf numFmtId="0" fontId="26" fillId="0" borderId="0" xfId="8" applyAlignment="1">
      <x:alignment horizontal="center" vertical="center"/>
    </x:xf>
    <x:xf numFmtId="0" fontId="29" fillId="7" borderId="34" xfId="8" applyFont="1" applyFill="1" applyBorder="1" applyAlignment="1">
      <x:alignment horizontal="center" vertical="center"/>
    </x:xf>
    <x:xf numFmtId="0" fontId="29" fillId="8" borderId="34" xfId="8" applyFont="1" applyFill="1" applyBorder="1" applyAlignment="1">
      <x:alignment vertical="center"/>
    </x:xf>
    <x:xf numFmtId="0" fontId="31" fillId="0" borderId="34" xfId="8" applyFont="1" applyBorder="1" applyAlignment="1">
      <x:alignment horizontal="center" vertical="center"/>
    </x:xf>
    <x:xf numFmtId="177" fontId="26" fillId="0" borderId="34" xfId="8" applyNumberFormat="1" applyBorder="1" applyAlignment="1">
      <x:alignment horizontal="center" vertical="center" shrinkToFit="1"/>
    </x:xf>
    <x:xf numFmtId="0" fontId="31" fillId="0" borderId="34" xfId="8" applyFont="1" applyBorder="1" applyAlignment="1">
      <x:alignment horizontal="center" vertical="center" shrinkToFit="1"/>
    </x:xf>
    <x:xf numFmtId="0" fontId="31" fillId="2" borderId="34" xfId="8" applyFont="1" applyFill="1" applyBorder="1" applyAlignment="1">
      <x:alignment horizontal="center" vertical="center" shrinkToFit="1"/>
    </x:xf>
    <x:xf numFmtId="0" fontId="31" fillId="0" borderId="34" xfId="8" applyFont="1" applyBorder="1" applyAlignment="1">
      <x:alignment vertical="center"/>
    </x:xf>
    <x:xf numFmtId="0" fontId="26" fillId="0" borderId="0" xfId="8" applyAlignment="1">
      <x:alignment horizontal="center" vertical="center" shrinkToFit="1"/>
    </x:xf>
    <x:xf numFmtId="177" fontId="31" fillId="0" borderId="34" xfId="8" applyNumberFormat="1" applyFont="1" applyBorder="1" applyAlignment="1">
      <x:alignment horizontal="center" vertical="center"/>
    </x:xf>
    <x:xf numFmtId="177" fontId="26" fillId="0" borderId="0" xfId="8" applyNumberFormat="1" applyAlignment="1">
      <x:alignment horizontal="center" vertical="center" shrinkToFit="1"/>
    </x:xf>
    <x:xf numFmtId="0" fontId="16" fillId="2" borderId="34" xfId="0" applyFont="1" applyFill="1" applyBorder="1" applyAlignment="1">
      <x:alignment horizontal="center" vertical="center"/>
    </x:xf>
    <x:xf numFmtId="0" fontId="14" fillId="2" borderId="34" xfId="0" applyFont="1" applyFill="1" applyBorder="1" applyAlignment="1">
      <x:alignment horizontal="center" vertical="center"/>
    </x:xf>
    <x:xf numFmtId="0" fontId="6" fillId="2" borderId="34" xfId="0" applyFont="1" applyFill="1" applyBorder="1" applyAlignment="1">
      <x:alignment horizontal="center" vertical="center"/>
    </x:xf>
    <x:xf numFmtId="0" fontId="22" fillId="2" borderId="8" xfId="0" applyFont="1" applyFill="1" applyBorder="1" applyAlignment="1">
      <x:alignment horizontal="center" vertical="center"/>
    </x:xf>
    <x:xf numFmtId="0" fontId="22" fillId="2" borderId="9" xfId="0" applyFont="1" applyFill="1" applyBorder="1" applyAlignment="1">
      <x:alignment horizontal="center" vertical="center"/>
    </x:xf>
    <x:xf numFmtId="0" fontId="6" fillId="2" borderId="8" xfId="0" applyFont="1" applyFill="1" applyBorder="1" applyAlignment="1">
      <x:alignment horizontal="center" vertical="center"/>
    </x:xf>
    <x:xf numFmtId="0" fontId="6" fillId="2" borderId="9" xfId="0" applyFont="1" applyFill="1" applyBorder="1" applyAlignment="1">
      <x:alignment horizontal="center" vertical="center"/>
    </x:xf>
    <x:xf numFmtId="0" fontId="6" fillId="2" borderId="8" xfId="0" applyFont="1" applyFill="1" applyBorder="1" applyAlignment="1">
      <x:alignment horizontal="center" vertical="center"/>
    </x:xf>
    <x:xf numFmtId="0" fontId="6" fillId="2" borderId="9" xfId="0" applyFont="1" applyFill="1" applyBorder="1" applyAlignment="1">
      <x:alignment horizontal="center" vertical="center"/>
    </x:xf>
    <x:xf numFmtId="0" fontId="6" fillId="2" borderId="21" xfId="0" applyFont="1" applyFill="1" applyBorder="1">
      <x:alignment vertical="center"/>
    </x:xf>
    <x:xf numFmtId="0" fontId="6" fillId="2" borderId="0" xfId="0" applyFont="1" applyFill="1">
      <x:alignment vertical="center"/>
    </x:xf>
    <x:xf numFmtId="0" fontId="8" fillId="2" borderId="17" xfId="0" applyFont="1" applyFill="1" applyBorder="1" applyAlignment="1" applyProtection="1">
      <x:alignment horizontal="center" vertical="center"/>
      <x:protection locked="0"/>
    </x:xf>
    <x:xf numFmtId="0" fontId="8" fillId="2" borderId="16" xfId="0" applyFont="1" applyFill="1" applyBorder="1" applyAlignment="1" applyProtection="1">
      <x:alignment horizontal="center" vertical="center"/>
      <x:protection locked="0"/>
    </x:xf>
    <x:xf numFmtId="0" fontId="8" fillId="2" borderId="15" xfId="0" applyFont="1" applyFill="1" applyBorder="1" applyAlignment="1" applyProtection="1">
      <x:alignment horizontal="center" vertical="center"/>
      <x:protection locked="0"/>
    </x:xf>
    <x:xf numFmtId="0" fontId="8" fillId="2" borderId="8" xfId="0" applyFont="1" applyFill="1" applyBorder="1" applyAlignment="1">
      <x:alignment horizontal="center" vertical="center"/>
    </x:xf>
    <x:xf numFmtId="0" fontId="8" fillId="2" borderId="7" xfId="0" applyFont="1" applyFill="1" applyBorder="1" applyAlignment="1">
      <x:alignment horizontal="center" vertical="center"/>
    </x:xf>
    <x:xf numFmtId="0" fontId="8" fillId="2" borderId="6" xfId="0" applyFont="1" applyFill="1" applyBorder="1" applyAlignment="1">
      <x:alignment horizontal="center" vertical="center"/>
    </x:xf>
    <x:xf numFmtId="0" fontId="8" fillId="2" borderId="9" xfId="0" applyFont="1" applyFill="1" applyBorder="1" applyAlignment="1">
      <x:alignment horizontal="center" vertical="center"/>
    </x:xf>
    <x:xf numFmtId="0" fontId="23" fillId="2" borderId="0" xfId="0" applyFont="1" applyFill="1" applyAlignment="1">
      <x:alignment horizontal="center" vertical="center"/>
    </x:xf>
    <x:xf numFmtId="0" fontId="23" fillId="2" borderId="42" xfId="0" applyFont="1" applyFill="1" applyBorder="1" applyAlignment="1">
      <x:alignment horizontal="center" vertical="center"/>
    </x:xf>
    <x:xf numFmtId="0" fontId="8" fillId="2" borderId="8" xfId="0" applyFont="1" applyFill="1" applyBorder="1" applyAlignment="1" applyProtection="1">
      <x:alignment horizontal="center" vertical="center"/>
      <x:protection locked="0"/>
    </x:xf>
    <x:xf numFmtId="0" fontId="8" fillId="2" borderId="7" xfId="0" applyFont="1" applyFill="1" applyBorder="1" applyAlignment="1" applyProtection="1">
      <x:alignment horizontal="center" vertical="center"/>
      <x:protection locked="0"/>
    </x:xf>
    <x:xf numFmtId="0" fontId="8" fillId="2" borderId="6" xfId="0" applyFont="1" applyFill="1" applyBorder="1" applyAlignment="1" applyProtection="1">
      <x:alignment horizontal="center" vertical="center"/>
      <x:protection locked="0"/>
    </x:xf>
    <x:xf numFmtId="0" fontId="8" fillId="2" borderId="3" xfId="0" applyFont="1" applyFill="1" applyBorder="1" applyAlignment="1" applyProtection="1">
      <x:alignment horizontal="center" vertical="center"/>
      <x:protection locked="0"/>
    </x:xf>
    <x:xf numFmtId="0" fontId="8" fillId="2" borderId="2" xfId="0" applyFont="1" applyFill="1" applyBorder="1" applyAlignment="1" applyProtection="1">
      <x:alignment horizontal="center" vertical="center"/>
      <x:protection locked="0"/>
    </x:xf>
    <x:xf numFmtId="0" fontId="8" fillId="2" borderId="1" xfId="0" applyFont="1" applyFill="1" applyBorder="1" applyAlignment="1" applyProtection="1">
      <x:alignment horizontal="center" vertical="center"/>
      <x:protection locked="0"/>
    </x:xf>
    <x:xf numFmtId="0" fontId="8" fillId="2" borderId="12" xfId="0" applyFont="1" applyFill="1" applyBorder="1" applyAlignment="1" applyProtection="1">
      <x:alignment horizontal="center" vertical="center"/>
      <x:protection locked="0"/>
    </x:xf>
    <x:xf numFmtId="0" fontId="8" fillId="2" borderId="11" xfId="0" applyFont="1" applyFill="1" applyBorder="1" applyAlignment="1" applyProtection="1">
      <x:alignment horizontal="center" vertical="center"/>
      <x:protection locked="0"/>
    </x:xf>
    <x:xf numFmtId="0" fontId="8" fillId="2" borderId="25" xfId="0" applyFont="1" applyFill="1" applyBorder="1" applyAlignment="1" applyProtection="1">
      <x:alignment horizontal="center" vertical="center"/>
      <x:protection locked="0"/>
    </x:xf>
    <x:xf numFmtId="0" fontId="8" fillId="2" borderId="45" xfId="0" applyFont="1" applyFill="1" applyBorder="1" applyAlignment="1">
      <x:alignment horizontal="center" vertical="center"/>
    </x:xf>
    <x:xf numFmtId="0" fontId="8" fillId="2" borderId="44" xfId="0" applyFont="1" applyFill="1" applyBorder="1" applyAlignment="1">
      <x:alignment horizontal="center" vertical="center"/>
    </x:xf>
    <x:xf numFmtId="0" fontId="8" fillId="2" borderId="43" xfId="0" applyFont="1" applyFill="1" applyBorder="1" applyAlignment="1">
      <x:alignment horizontal="center" vertical="center"/>
    </x:xf>
    <x:xf numFmtId="0" fontId="8" fillId="2" borderId="56" xfId="0" applyFont="1" applyFill="1" applyBorder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8" fillId="2" borderId="2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17" xfId="0" quotePrefix="1" applyFont="1" applyFill="1" applyBorder="1" applyAlignment="1">
      <x:alignment horizontal="center" vertical="center"/>
    </x:xf>
    <x:xf numFmtId="0" fontId="8" fillId="2" borderId="16" xfId="0" quotePrefix="1" applyFont="1" applyFill="1" applyBorder="1" applyAlignment="1">
      <x:alignment horizontal="center" vertical="center"/>
    </x:xf>
    <x:xf numFmtId="0" fontId="8" fillId="2" borderId="15" xfId="0" quotePrefix="1" applyFont="1" applyFill="1" applyBorder="1" applyAlignment="1">
      <x:alignment horizontal="center" vertical="center"/>
    </x:xf>
    <x:xf numFmtId="0" fontId="8" fillId="2" borderId="17" xfId="0" applyFont="1" applyFill="1" applyBorder="1" applyAlignment="1">
      <x:alignment horizontal="center" vertical="center"/>
    </x:xf>
    <x:xf numFmtId="0" fontId="8" fillId="2" borderId="16" xfId="0" applyFont="1" applyFill="1" applyBorder="1" applyAlignment="1">
      <x:alignment horizontal="center" vertical="center"/>
    </x:xf>
    <x:xf numFmtId="0" fontId="8" fillId="2" borderId="15" xfId="0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9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9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34" xfId="0" applyNumberFormat="1" applyFill="0" applyBorder="1" applyAlignment="1" applyProtection="1">
      <x:alignment horizontal="center" vertical="bottom" textRotation="0" wrapText="0" indent="0" relativeIndent="0" justifyLastLine="0" shrinkToFit="1" readingOrder="0"/>
      <x:protection locked="1" hidden="0"/>
    </x:xf>
    <x:xf numFmtId="0" fontId="29" fillId="3" borderId="34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4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4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30" fillId="5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176" fontId="1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" fillId="0" borderId="34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30" fillId="6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4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0" fillId="6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8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7" fontId="1" fillId="0" borderId="34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31" fillId="2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8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8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5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8" fillId="2" borderId="5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1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1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2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1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2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1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1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2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1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1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1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1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2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8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19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1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1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8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8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8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6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5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8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8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8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8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8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8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8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8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1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1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8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8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8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8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8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1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1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1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8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8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8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8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8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8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8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0">
    <x:cellStyle name="Normal_CONTROL VALVES" xfId="6" xr:uid="{56C2C7AF-2BDC-AF46-813A-D991D6336A57}"/>
    <x:cellStyle name="표준" xfId="0" builtinId="0"/>
    <x:cellStyle name="표준 10" xfId="9" xr:uid="{DC37A0FA-7BA8-4849-9861-DBB02004BA30}"/>
    <x:cellStyle name="표준 2" xfId="1" xr:uid="{9E2A4C67-3E6B-5342-B1D7-2970AAD57639}"/>
    <x:cellStyle name="표준 2 2" xfId="2" xr:uid="{32567968-F177-2F4C-9544-6FAD55177022}"/>
    <x:cellStyle name="표준 3" xfId="7" xr:uid="{E0A722B0-2501-45AA-BDA0-5899612BDA29}"/>
    <x:cellStyle name="표준 5" xfId="8" xr:uid="{4BFF5CB4-B021-40D2-9525-13BA342069EF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rId8" /><Relationship Type="http://schemas.openxmlformats.org/officeDocument/2006/relationships/worksheet" Target="worksheets/sheet3.xml" Id="rId3" /><Relationship Type="http://schemas.openxmlformats.org/officeDocument/2006/relationships/sheetMetadata" Target="metadata.xml" Id="rId7" /><Relationship Type="http://schemas.openxmlformats.org/officeDocument/2006/relationships/worksheet" Target="worksheets/sheet2.xml" Id="rId2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1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2038350" cy="933450"/>
    <xdr:pic>
      <xdr:nvPicPr>
        <xdr:cNvPr id="1" name="그림 16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2038350" cy="9334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0" /></Relationships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8C88D1-9EE0-4243-9F0A-B5F2031ECB88}" mc:Ignorable="x14ac xr xr2 xr3">
  <x:sheetPr>
    <x:outlinePr summaryBelow="1" summaryRight="1"/>
  </x:sheetPr>
  <x:dimension ref="A1:Q75"/>
  <x:sheetViews>
    <x:sheetView topLeftCell="F1" workbookViewId="0">
      <x:pane xSplit="0" ySplit="3" topLeftCell="A4" activePane="bottomLeft" state="frozenSplit"/>
      <x:selection activeCell="I5" sqref="I5"/>
      <x:selection pane="bottomLeft" activeCell="I5" sqref="I5"/>
    </x:sheetView>
  </x:sheetViews>
  <x:sheetFormatPr defaultColWidth="8" defaultRowHeight="16.5"/>
  <x:cols>
    <x:col min="1" max="1" width="14" style="334" bestFit="1" customWidth="1"/>
    <x:col min="2" max="2" width="12" style="390" bestFit="1" customWidth="1"/>
    <x:col min="3" max="3" width="16" style="390" bestFit="1" customWidth="1"/>
    <x:col min="4" max="4" width="13.21875" style="390" bestFit="1" customWidth="1"/>
    <x:col min="5" max="5" width="21.109375" style="390" bestFit="1" customWidth="1"/>
    <x:col min="6" max="6" width="16.109375" style="390" bestFit="1" customWidth="1"/>
    <x:col min="7" max="7" width="14" style="390" bestFit="1" customWidth="1"/>
    <x:col min="8" max="8" width="13.777344" style="390" bestFit="1" customWidth="1"/>
    <x:col min="9" max="9" width="11.21875" style="390" bestFit="1" customWidth="1"/>
    <x:col min="10" max="10" width="11.332031" style="390" bestFit="1" customWidth="1"/>
    <x:col min="11" max="11" width="9.441406" style="390" bestFit="1" customWidth="1"/>
    <x:col min="12" max="12" width="9.332031" style="390" bestFit="1" customWidth="1"/>
    <x:col min="13" max="13" width="16.109375" style="390" bestFit="1" customWidth="1"/>
    <x:col min="14" max="14" width="14.554688" style="390" bestFit="1" customWidth="1"/>
    <x:col min="15" max="15" width="15.777344" style="390" bestFit="1" customWidth="1"/>
    <x:col min="16" max="16" width="22.332031" style="390" bestFit="1" customWidth="1"/>
    <x:col min="17" max="17" width="12.664062" style="390" bestFit="1" customWidth="1"/>
    <x:col min="18" max="16384" width="8" style="390" customWidth="1"/>
  </x:cols>
  <x:sheetData>
    <x:row r="1" spans="1:17" ht="38.45" customHeight="1">
      <x:c r="A1" s="305" t="s">
        <x:v>0</x:v>
      </x:c>
      <x:c r="B1" s="305"/>
      <x:c r="C1" s="305"/>
      <x:c r="D1" s="305"/>
      <x:c r="E1" s="305"/>
      <x:c r="F1" s="305"/>
      <x:c r="G1" s="305" t="s">
        <x:v>1</x:v>
      </x:c>
      <x:c r="H1" s="305"/>
      <x:c r="I1" s="305"/>
      <x:c r="J1" s="305"/>
      <x:c r="K1" s="305"/>
      <x:c r="L1" s="305"/>
      <x:c r="M1" s="305"/>
      <x:c r="N1" s="305" t="s">
        <x:v>2</x:v>
      </x:c>
      <x:c r="O1" s="306"/>
      <x:c r="P1" s="306"/>
      <x:c r="Q1" s="306"/>
    </x:row>
    <x:row r="2" spans="1:17">
      <x:c r="A2" s="391" t="s">
        <x:v>3</x:v>
      </x:c>
      <x:c r="B2" s="392" t="s">
        <x:v>4</x:v>
      </x:c>
      <x:c r="C2" s="393" t="s">
        <x:v>5</x:v>
      </x:c>
      <x:c r="D2" s="394"/>
      <x:c r="E2" s="394"/>
      <x:c r="F2" s="395"/>
      <x:c r="G2" s="391" t="s">
        <x:v>6</x:v>
      </x:c>
      <x:c r="H2" s="392" t="s">
        <x:v>7</x:v>
      </x:c>
      <x:c r="I2" s="392"/>
      <x:c r="J2" s="393" t="s">
        <x:v>8</x:v>
      </x:c>
      <x:c r="K2" s="394"/>
      <x:c r="L2" s="394"/>
      <x:c r="M2" s="395"/>
      <x:c r="N2" s="392" t="s">
        <x:v>9</x:v>
      </x:c>
      <x:c r="O2" s="392" t="s">
        <x:v>10</x:v>
      </x:c>
      <x:c r="P2" s="392"/>
      <x:c r="Q2" s="392"/>
    </x:row>
    <x:row r="3" spans="1:17">
      <x:c r="A3" s="391"/>
      <x:c r="B3" s="391" t="s">
        <x:v>11</x:v>
      </x:c>
      <x:c r="C3" s="391" t="s">
        <x:v>12</x:v>
      </x:c>
      <x:c r="D3" s="391" t="s">
        <x:v>13</x:v>
      </x:c>
      <x:c r="E3" s="391" t="s">
        <x:v>14</x:v>
      </x:c>
      <x:c r="F3" s="396" t="s">
        <x:v>15</x:v>
      </x:c>
      <x:c r="G3" s="391"/>
      <x:c r="H3" s="391" t="s">
        <x:v>16</x:v>
      </x:c>
      <x:c r="I3" s="391" t="s">
        <x:v>17</x:v>
      </x:c>
      <x:c r="J3" s="396" t="s">
        <x:v>18</x:v>
      </x:c>
      <x:c r="K3" s="396" t="s">
        <x:v>19</x:v>
      </x:c>
      <x:c r="L3" s="396" t="s">
        <x:v>20</x:v>
      </x:c>
      <x:c r="M3" s="396" t="s">
        <x:v>21</x:v>
      </x:c>
      <x:c r="N3" s="391" t="s">
        <x:v>22</x:v>
      </x:c>
      <x:c r="O3" s="391" t="s">
        <x:v>23</x:v>
      </x:c>
      <x:c r="P3" s="391" t="s">
        <x:v>24</x:v>
      </x:c>
      <x:c r="Q3" s="391" t="s">
        <x:v>25</x:v>
      </x:c>
    </x:row>
    <x:row r="4" spans="1:17" ht="16.5" customHeight="1">
      <x:c r="A4" s="397" t="s">
        <x:v>26</x:v>
      </x:c>
      <x:c r="B4" s="398" t="s">
        <x:v>27</x:v>
      </x:c>
      <x:c r="C4" s="399" t="s">
        <x:v>28</x:v>
      </x:c>
      <x:c r="D4" s="399"/>
      <x:c r="E4" s="399"/>
      <x:c r="F4" s="399" t="s">
        <x:v>29</x:v>
      </x:c>
      <x:c r="G4" s="397" t="s">
        <x:v>30</x:v>
      </x:c>
      <x:c r="H4" s="400" t="s">
        <x:v>31</x:v>
      </x:c>
      <x:c r="I4" s="401" t="s">
        <x:v>32</x:v>
      </x:c>
      <x:c r="J4" s="399" t="s">
        <x:v>33</x:v>
      </x:c>
      <x:c r="K4" s="402">
        <x:v>1.4</x:v>
      </x:c>
      <x:c r="L4" s="403">
        <x:v>2.8</x:v>
      </x:c>
      <x:c r="M4" s="399" t="s">
        <x:v>34</x:v>
      </x:c>
      <x:c r="N4" s="404" t="s">
        <x:v>35</x:v>
      </x:c>
      <x:c r="O4" s="399" t="s">
        <x:v>36</x:v>
      </x:c>
      <x:c r="P4" s="399" t="s">
        <x:v>37</x:v>
      </x:c>
      <x:c r="Q4" s="399" t="s">
        <x:v>38</x:v>
      </x:c>
    </x:row>
    <x:row r="5" spans="1:17">
      <x:c r="A5" s="397"/>
      <x:c r="B5" s="405" t="s">
        <x:v>39</x:v>
      </x:c>
      <x:c r="C5" s="399" t="s">
        <x:v>40</x:v>
      </x:c>
      <x:c r="D5" s="406" t="s">
        <x:v>41</x:v>
      </x:c>
      <x:c r="E5" s="406" t="s">
        <x:v>42</x:v>
      </x:c>
      <x:c r="F5" s="399" t="s">
        <x:v>29</x:v>
      </x:c>
      <x:c r="G5" s="397"/>
      <x:c r="H5" s="400" t="s">
        <x:v>43</x:v>
      </x:c>
      <x:c r="I5" s="401" t="s">
        <x:v>44</x:v>
      </x:c>
      <x:c r="J5" s="402" t="s">
        <x:v>45</x:v>
      </x:c>
      <x:c r="K5" s="402">
        <x:v>1.4</x:v>
      </x:c>
      <x:c r="L5" s="402">
        <x:v>0.7</x:v>
      </x:c>
      <x:c r="M5" s="402" t="s">
        <x:v>34</x:v>
      </x:c>
      <x:c r="N5" s="404" t="s">
        <x:v>46</x:v>
      </x:c>
      <x:c r="O5" s="406" t="s">
        <x:v>46</x:v>
      </x:c>
      <x:c r="P5" s="406" t="s">
        <x:v>47</x:v>
      </x:c>
      <x:c r="Q5" s="406" t="s">
        <x:v>42</x:v>
      </x:c>
    </x:row>
    <x:row r="6" spans="1:17">
      <x:c r="A6" s="397"/>
      <x:c r="B6" s="405" t="s">
        <x:v>48</x:v>
      </x:c>
      <x:c r="C6" s="399" t="s">
        <x:v>49</x:v>
      </x:c>
      <x:c r="D6" s="406" t="s">
        <x:v>41</x:v>
      </x:c>
      <x:c r="E6" s="406" t="s">
        <x:v>42</x:v>
      </x:c>
      <x:c r="F6" s="399" t="s">
        <x:v>29</x:v>
      </x:c>
      <x:c r="G6" s="397"/>
      <x:c r="H6" s="400" t="s">
        <x:v>43</x:v>
      </x:c>
      <x:c r="I6" s="407" t="s">
        <x:v>50</x:v>
      </x:c>
      <x:c r="J6" s="402"/>
      <x:c r="K6" s="402"/>
      <x:c r="L6" s="402"/>
      <x:c r="M6" s="402" t="s">
        <x:v>51</x:v>
      </x:c>
      <x:c r="N6" s="404" t="s">
        <x:v>52</x:v>
      </x:c>
      <x:c r="O6" s="406" t="s">
        <x:v>53</x:v>
      </x:c>
      <x:c r="P6" s="406" t="s">
        <x:v>47</x:v>
      </x:c>
      <x:c r="Q6" s="406" t="s">
        <x:v>42</x:v>
      </x:c>
    </x:row>
    <x:row r="7" spans="1:17">
      <x:c r="A7" s="397"/>
      <x:c r="B7" s="405" t="s">
        <x:v>54</x:v>
      </x:c>
      <x:c r="C7" s="399" t="s">
        <x:v>55</x:v>
      </x:c>
      <x:c r="D7" s="406" t="s">
        <x:v>41</x:v>
      </x:c>
      <x:c r="E7" s="406" t="s">
        <x:v>42</x:v>
      </x:c>
      <x:c r="F7" s="399" t="s">
        <x:v>29</x:v>
      </x:c>
      <x:c r="G7" s="397"/>
      <x:c r="H7" s="400" t="s">
        <x:v>43</x:v>
      </x:c>
      <x:c r="I7" s="407" t="s">
        <x:v>56</x:v>
      </x:c>
      <x:c r="J7" s="406"/>
      <x:c r="K7" s="406"/>
      <x:c r="L7" s="406"/>
      <x:c r="M7" s="406"/>
      <x:c r="N7" s="404" t="s">
        <x:v>57</x:v>
      </x:c>
      <x:c r="O7" s="406" t="s">
        <x:v>58</x:v>
      </x:c>
      <x:c r="P7" s="406" t="s">
        <x:v>59</x:v>
      </x:c>
      <x:c r="Q7" s="406" t="s">
        <x:v>60</x:v>
      </x:c>
    </x:row>
    <x:row r="8" spans="1:17">
      <x:c r="A8" s="397"/>
      <x:c r="B8" s="398" t="s">
        <x:v>61</x:v>
      </x:c>
      <x:c r="C8" s="399" t="s">
        <x:v>62</x:v>
      </x:c>
      <x:c r="D8" s="406" t="s">
        <x:v>41</x:v>
      </x:c>
      <x:c r="E8" s="406" t="s">
        <x:v>42</x:v>
      </x:c>
      <x:c r="F8" s="399" t="s">
        <x:v>29</x:v>
      </x:c>
      <x:c r="G8" s="392" t="s">
        <x:v>63</x:v>
      </x:c>
      <x:c r="H8" s="400" t="s">
        <x:v>63</x:v>
      </x:c>
      <x:c r="I8" s="401" t="s">
        <x:v>32</x:v>
      </x:c>
      <x:c r="J8" s="402" t="s">
        <x:v>64</x:v>
      </x:c>
      <x:c r="K8" s="402">
        <x:v>2</x:v>
      </x:c>
      <x:c r="L8" s="402">
        <x:v>3.5</x:v>
      </x:c>
      <x:c r="M8" s="399" t="s">
        <x:v>34</x:v>
      </x:c>
      <x:c r="N8" s="404" t="s">
        <x:v>65</x:v>
      </x:c>
      <x:c r="O8" s="406" t="s">
        <x:v>66</x:v>
      </x:c>
      <x:c r="P8" s="406" t="s">
        <x:v>47</x:v>
      </x:c>
      <x:c r="Q8" s="406" t="s">
        <x:v>42</x:v>
      </x:c>
    </x:row>
    <x:row r="9" spans="1:17">
      <x:c r="A9" s="392" t="s">
        <x:v>63</x:v>
      </x:c>
      <x:c r="B9" s="398" t="s">
        <x:v>67</x:v>
      </x:c>
      <x:c r="C9" s="406" t="s">
        <x:v>68</x:v>
      </x:c>
      <x:c r="D9" s="406" t="s">
        <x:v>69</x:v>
      </x:c>
      <x:c r="E9" s="406" t="s">
        <x:v>70</x:v>
      </x:c>
      <x:c r="F9" s="406" t="s">
        <x:v>71</x:v>
      </x:c>
      <x:c r="G9" s="392"/>
      <x:c r="H9" s="400" t="s">
        <x:v>63</x:v>
      </x:c>
      <x:c r="I9" s="401" t="s">
        <x:v>72</x:v>
      </x:c>
      <x:c r="J9" s="402" t="s">
        <x:v>73</x:v>
      </x:c>
      <x:c r="K9" s="402">
        <x:v>3.5</x:v>
      </x:c>
      <x:c r="L9" s="402">
        <x:v>2</x:v>
      </x:c>
      <x:c r="M9" s="402" t="s">
        <x:v>34</x:v>
      </x:c>
      <x:c r="N9" s="404" t="s">
        <x:v>74</x:v>
      </x:c>
      <x:c r="O9" s="406" t="s">
        <x:v>75</x:v>
      </x:c>
      <x:c r="P9" s="406" t="s">
        <x:v>47</x:v>
      </x:c>
      <x:c r="Q9" s="406" t="s">
        <x:v>42</x:v>
      </x:c>
    </x:row>
    <x:row r="10" spans="1:17">
      <x:c r="A10" s="392"/>
      <x:c r="B10" s="398" t="s">
        <x:v>76</x:v>
      </x:c>
      <x:c r="C10" s="406" t="s">
        <x:v>77</x:v>
      </x:c>
      <x:c r="D10" s="406" t="s">
        <x:v>78</x:v>
      </x:c>
      <x:c r="E10" s="406" t="s">
        <x:v>79</x:v>
      </x:c>
      <x:c r="F10" s="406" t="s">
        <x:v>71</x:v>
      </x:c>
      <x:c r="G10" s="392"/>
      <x:c r="H10" s="400" t="s">
        <x:v>63</x:v>
      </x:c>
      <x:c r="I10" s="407" t="s">
        <x:v>80</x:v>
      </x:c>
      <x:c r="J10" s="402" t="s">
        <x:v>81</x:v>
      </x:c>
      <x:c r="K10" s="402">
        <x:v>4</x:v>
      </x:c>
      <x:c r="L10" s="402">
        <x:v>4</x:v>
      </x:c>
      <x:c r="M10" s="402" t="s">
        <x:v>51</x:v>
      </x:c>
      <x:c r="N10" s="404" t="s">
        <x:v>82</x:v>
      </x:c>
      <x:c r="O10" s="406" t="s">
        <x:v>83</x:v>
      </x:c>
      <x:c r="P10" s="406" t="s">
        <x:v>84</x:v>
      </x:c>
      <x:c r="Q10" s="406" t="s">
        <x:v>85</x:v>
      </x:c>
    </x:row>
    <x:row r="11" spans="1:17">
      <x:c r="A11" s="392"/>
      <x:c r="B11" s="398" t="s">
        <x:v>86</x:v>
      </x:c>
      <x:c r="C11" s="406" t="s">
        <x:v>87</x:v>
      </x:c>
      <x:c r="D11" s="406" t="s">
        <x:v>88</x:v>
      </x:c>
      <x:c r="E11" s="406" t="s">
        <x:v>42</x:v>
      </x:c>
      <x:c r="F11" s="406" t="s">
        <x:v>71</x:v>
      </x:c>
      <x:c r="G11" s="392"/>
      <x:c r="H11" s="400" t="s">
        <x:v>63</x:v>
      </x:c>
      <x:c r="I11" s="407" t="s">
        <x:v>89</x:v>
      </x:c>
      <x:c r="J11" s="406"/>
      <x:c r="K11" s="406"/>
      <x:c r="L11" s="406"/>
      <x:c r="M11" s="406"/>
      <x:c r="N11" s="408" t="s">
        <x:v>90</x:v>
      </x:c>
      <x:c r="O11" s="406"/>
      <x:c r="P11" s="406"/>
      <x:c r="Q11" s="406"/>
    </x:row>
    <x:row r="12" spans="1:17">
      <x:c r="A12" s="392"/>
      <x:c r="B12" s="398" t="s">
        <x:v>91</x:v>
      </x:c>
      <x:c r="C12" s="406" t="s">
        <x:v>92</x:v>
      </x:c>
      <x:c r="D12" s="406" t="s">
        <x:v>41</x:v>
      </x:c>
      <x:c r="E12" s="406" t="s">
        <x:v>42</x:v>
      </x:c>
      <x:c r="F12" s="406" t="s">
        <x:v>71</x:v>
      </x:c>
      <x:c r="G12" s="392" t="s">
        <x:v>93</x:v>
      </x:c>
      <x:c r="H12" s="400" t="s">
        <x:v>93</x:v>
      </x:c>
      <x:c r="I12" s="401" t="s">
        <x:v>32</x:v>
      </x:c>
      <x:c r="J12" s="402" t="s">
        <x:v>33</x:v>
      </x:c>
      <x:c r="K12" s="402">
        <x:v>2.5</x:v>
      </x:c>
      <x:c r="L12" s="402">
        <x:v>3.5</x:v>
      </x:c>
      <x:c r="M12" s="399" t="s">
        <x:v>34</x:v>
      </x:c>
    </x:row>
    <x:row r="13" spans="1:17">
      <x:c r="A13" s="392"/>
      <x:c r="B13" s="398" t="s">
        <x:v>94</x:v>
      </x:c>
      <x:c r="C13" s="406" t="s">
        <x:v>95</x:v>
      </x:c>
      <x:c r="D13" s="406" t="s">
        <x:v>41</x:v>
      </x:c>
      <x:c r="E13" s="406" t="s">
        <x:v>42</x:v>
      </x:c>
      <x:c r="F13" s="406" t="s">
        <x:v>71</x:v>
      </x:c>
      <x:c r="G13" s="392"/>
      <x:c r="H13" s="400" t="s">
        <x:v>93</x:v>
      </x:c>
      <x:c r="I13" s="401" t="s">
        <x:v>72</x:v>
      </x:c>
      <x:c r="J13" s="402" t="s">
        <x:v>45</x:v>
      </x:c>
      <x:c r="K13" s="402">
        <x:v>3.5</x:v>
      </x:c>
      <x:c r="L13" s="402">
        <x:v>2.5</x:v>
      </x:c>
      <x:c r="M13" s="402" t="s">
        <x:v>34</x:v>
      </x:c>
    </x:row>
    <x:row r="14" spans="1:17">
      <x:c r="A14" s="392"/>
      <x:c r="B14" s="398" t="s">
        <x:v>96</x:v>
      </x:c>
      <x:c r="C14" s="406" t="s">
        <x:v>97</x:v>
      </x:c>
      <x:c r="D14" s="406" t="s">
        <x:v>41</x:v>
      </x:c>
      <x:c r="E14" s="406" t="s">
        <x:v>42</x:v>
      </x:c>
      <x:c r="F14" s="406" t="s">
        <x:v>71</x:v>
      </x:c>
      <x:c r="G14" s="392"/>
      <x:c r="H14" s="400" t="s">
        <x:v>93</x:v>
      </x:c>
      <x:c r="I14" s="407" t="s">
        <x:v>98</x:v>
      </x:c>
      <x:c r="J14" s="402" t="s">
        <x:v>81</x:v>
      </x:c>
      <x:c r="K14" s="402">
        <x:v>4</x:v>
      </x:c>
      <x:c r="L14" s="402">
        <x:v>4</x:v>
      </x:c>
      <x:c r="M14" s="402" t="s">
        <x:v>51</x:v>
      </x:c>
    </x:row>
    <x:row r="15" spans="1:17">
      <x:c r="A15" s="392" t="s">
        <x:v>93</x:v>
      </x:c>
      <x:c r="B15" s="405" t="s">
        <x:v>99</x:v>
      </x:c>
      <x:c r="C15" s="406" t="s">
        <x:v>99</x:v>
      </x:c>
      <x:c r="D15" s="406" t="s">
        <x:v>41</x:v>
      </x:c>
      <x:c r="E15" s="406" t="s">
        <x:v>42</x:v>
      </x:c>
      <x:c r="F15" s="406" t="s">
        <x:v>71</x:v>
      </x:c>
      <x:c r="G15" s="392"/>
      <x:c r="H15" s="400" t="s">
        <x:v>93</x:v>
      </x:c>
      <x:c r="I15" s="407" t="s">
        <x:v>100</x:v>
      </x:c>
      <x:c r="J15" s="406"/>
      <x:c r="K15" s="406"/>
      <x:c r="L15" s="406"/>
      <x:c r="M15" s="406"/>
    </x:row>
    <x:row r="16" spans="1:17">
      <x:c r="A16" s="392"/>
      <x:c r="B16" s="398" t="s">
        <x:v>101</x:v>
      </x:c>
      <x:c r="C16" s="406" t="s">
        <x:v>102</x:v>
      </x:c>
      <x:c r="D16" s="406" t="s">
        <x:v>41</x:v>
      </x:c>
      <x:c r="E16" s="406" t="s">
        <x:v>42</x:v>
      </x:c>
      <x:c r="F16" s="406" t="s">
        <x:v>71</x:v>
      </x:c>
      <x:c r="G16" s="392" t="s">
        <x:v>103</x:v>
      </x:c>
      <x:c r="H16" s="400" t="s">
        <x:v>103</x:v>
      </x:c>
      <x:c r="I16" s="401" t="s">
        <x:v>32</x:v>
      </x:c>
      <x:c r="J16" s="402" t="s">
        <x:v>33</x:v>
      </x:c>
      <x:c r="K16" s="402">
        <x:v>1.2</x:v>
      </x:c>
      <x:c r="L16" s="402">
        <x:v>2.4</x:v>
      </x:c>
      <x:c r="M16" s="399" t="s">
        <x:v>34</x:v>
      </x:c>
    </x:row>
    <x:row r="17" spans="1:17">
      <x:c r="A17" s="392"/>
      <x:c r="B17" s="405" t="s">
        <x:v>104</x:v>
      </x:c>
      <x:c r="C17" s="406" t="s">
        <x:v>104</x:v>
      </x:c>
      <x:c r="D17" s="406" t="s">
        <x:v>41</x:v>
      </x:c>
      <x:c r="E17" s="406" t="s">
        <x:v>42</x:v>
      </x:c>
      <x:c r="F17" s="406" t="s">
        <x:v>71</x:v>
      </x:c>
      <x:c r="G17" s="392"/>
      <x:c r="H17" s="400" t="s">
        <x:v>103</x:v>
      </x:c>
      <x:c r="I17" s="401" t="s">
        <x:v>72</x:v>
      </x:c>
      <x:c r="J17" s="402" t="s">
        <x:v>105</x:v>
      </x:c>
      <x:c r="K17" s="402">
        <x:v>2</x:v>
      </x:c>
      <x:c r="L17" s="402">
        <x:v>1.2</x:v>
      </x:c>
      <x:c r="M17" s="402" t="s">
        <x:v>34</x:v>
      </x:c>
    </x:row>
    <x:row r="18" spans="1:17">
      <x:c r="A18" s="392"/>
      <x:c r="B18" s="405" t="s">
        <x:v>106</x:v>
      </x:c>
      <x:c r="C18" s="406" t="s">
        <x:v>107</x:v>
      </x:c>
      <x:c r="D18" s="406" t="s">
        <x:v>41</x:v>
      </x:c>
      <x:c r="E18" s="406" t="s">
        <x:v>42</x:v>
      </x:c>
      <x:c r="F18" s="406" t="s">
        <x:v>71</x:v>
      </x:c>
      <x:c r="G18" s="392"/>
      <x:c r="H18" s="400" t="s">
        <x:v>103</x:v>
      </x:c>
      <x:c r="I18" s="407" t="s">
        <x:v>108</x:v>
      </x:c>
      <x:c r="J18" s="402"/>
      <x:c r="K18" s="402"/>
      <x:c r="L18" s="402"/>
      <x:c r="M18" s="402" t="s">
        <x:v>51</x:v>
      </x:c>
    </x:row>
    <x:row r="19" spans="1:17">
      <x:c r="A19" s="392"/>
      <x:c r="B19" s="405" t="s">
        <x:v>109</x:v>
      </x:c>
      <x:c r="C19" s="406" t="s">
        <x:v>110</x:v>
      </x:c>
      <x:c r="D19" s="406" t="s">
        <x:v>41</x:v>
      </x:c>
      <x:c r="E19" s="406" t="s">
        <x:v>42</x:v>
      </x:c>
      <x:c r="F19" s="406" t="s">
        <x:v>71</x:v>
      </x:c>
      <x:c r="G19" s="392"/>
      <x:c r="H19" s="400" t="s">
        <x:v>103</x:v>
      </x:c>
      <x:c r="I19" s="407" t="s">
        <x:v>111</x:v>
      </x:c>
      <x:c r="J19" s="406"/>
      <x:c r="K19" s="406"/>
      <x:c r="L19" s="406"/>
      <x:c r="M19" s="406"/>
    </x:row>
    <x:row r="20" spans="1:17">
      <x:c r="A20" s="392"/>
      <x:c r="B20" s="398" t="s">
        <x:v>112</x:v>
      </x:c>
      <x:c r="C20" s="406" t="s">
        <x:v>113</x:v>
      </x:c>
      <x:c r="D20" s="406"/>
      <x:c r="E20" s="406"/>
      <x:c r="F20" s="406" t="s">
        <x:v>71</x:v>
      </x:c>
      <x:c r="G20" s="392" t="s">
        <x:v>114</x:v>
      </x:c>
      <x:c r="H20" s="400" t="s">
        <x:v>114</x:v>
      </x:c>
      <x:c r="I20" s="401" t="s">
        <x:v>32</x:v>
      </x:c>
      <x:c r="J20" s="399" t="s">
        <x:v>33</x:v>
      </x:c>
      <x:c r="K20" s="399"/>
      <x:c r="L20" s="399"/>
      <x:c r="M20" s="399" t="s">
        <x:v>34</x:v>
      </x:c>
    </x:row>
    <x:row r="21" spans="1:17">
      <x:c r="A21" s="392"/>
      <x:c r="B21" s="398" t="s">
        <x:v>115</x:v>
      </x:c>
      <x:c r="C21" s="406" t="s">
        <x:v>116</x:v>
      </x:c>
      <x:c r="D21" s="406"/>
      <x:c r="E21" s="406"/>
      <x:c r="F21" s="406" t="s">
        <x:v>71</x:v>
      </x:c>
      <x:c r="G21" s="392"/>
      <x:c r="H21" s="400" t="s">
        <x:v>114</x:v>
      </x:c>
      <x:c r="I21" s="401" t="s">
        <x:v>72</x:v>
      </x:c>
      <x:c r="J21" s="402" t="s">
        <x:v>117</x:v>
      </x:c>
      <x:c r="K21" s="402">
        <x:v>3.5</x:v>
      </x:c>
      <x:c r="L21" s="402">
        <x:v>2</x:v>
      </x:c>
      <x:c r="M21" s="402" t="s">
        <x:v>34</x:v>
      </x:c>
    </x:row>
    <x:row r="22" spans="1:17">
      <x:c r="A22" s="392"/>
      <x:c r="B22" s="398" t="s">
        <x:v>118</x:v>
      </x:c>
      <x:c r="C22" s="406" t="s">
        <x:v>119</x:v>
      </x:c>
      <x:c r="D22" s="406"/>
      <x:c r="E22" s="406"/>
      <x:c r="F22" s="406" t="s">
        <x:v>71</x:v>
      </x:c>
      <x:c r="G22" s="392"/>
      <x:c r="H22" s="400" t="s">
        <x:v>114</x:v>
      </x:c>
      <x:c r="I22" s="407" t="s">
        <x:v>120</x:v>
      </x:c>
      <x:c r="J22" s="402"/>
      <x:c r="K22" s="402"/>
      <x:c r="L22" s="402"/>
      <x:c r="M22" s="402" t="s">
        <x:v>51</x:v>
      </x:c>
    </x:row>
    <x:row r="23" spans="1:17">
      <x:c r="A23" s="392" t="s">
        <x:v>103</x:v>
      </x:c>
      <x:c r="B23" s="398" t="s">
        <x:v>121</x:v>
      </x:c>
      <x:c r="C23" s="406" t="s">
        <x:v>121</x:v>
      </x:c>
      <x:c r="D23" s="406" t="s">
        <x:v>41</x:v>
      </x:c>
      <x:c r="E23" s="406" t="s">
        <x:v>42</x:v>
      </x:c>
      <x:c r="F23" s="406" t="s">
        <x:v>29</x:v>
      </x:c>
      <x:c r="G23" s="392"/>
      <x:c r="H23" s="400" t="s">
        <x:v>114</x:v>
      </x:c>
      <x:c r="I23" s="407" t="s">
        <x:v>122</x:v>
      </x:c>
      <x:c r="J23" s="406"/>
      <x:c r="K23" s="406"/>
      <x:c r="L23" s="406"/>
      <x:c r="M23" s="406"/>
    </x:row>
    <x:row r="24" spans="1:17">
      <x:c r="A24" s="392"/>
      <x:c r="B24" s="398" t="s">
        <x:v>123</x:v>
      </x:c>
      <x:c r="C24" s="406" t="s">
        <x:v>123</x:v>
      </x:c>
      <x:c r="D24" s="406" t="s">
        <x:v>41</x:v>
      </x:c>
      <x:c r="E24" s="406" t="s">
        <x:v>42</x:v>
      </x:c>
      <x:c r="F24" s="406" t="s">
        <x:v>29</x:v>
      </x:c>
      <x:c r="G24" s="392" t="s">
        <x:v>124</x:v>
      </x:c>
      <x:c r="H24" s="400" t="s">
        <x:v>124</x:v>
      </x:c>
      <x:c r="I24" s="401" t="s">
        <x:v>32</x:v>
      </x:c>
      <x:c r="J24" s="402" t="s">
        <x:v>33</x:v>
      </x:c>
      <x:c r="K24" s="402" t="s">
        <x:v>125</x:v>
      </x:c>
      <x:c r="L24" s="402" t="s">
        <x:v>126</x:v>
      </x:c>
      <x:c r="M24" s="406" t="s">
        <x:v>127</x:v>
      </x:c>
    </x:row>
    <x:row r="25" spans="1:17">
      <x:c r="A25" s="392"/>
      <x:c r="B25" s="398" t="s">
        <x:v>128</x:v>
      </x:c>
      <x:c r="C25" s="406" t="s">
        <x:v>128</x:v>
      </x:c>
      <x:c r="D25" s="406" t="s">
        <x:v>41</x:v>
      </x:c>
      <x:c r="E25" s="406" t="s">
        <x:v>42</x:v>
      </x:c>
      <x:c r="F25" s="406" t="s">
        <x:v>29</x:v>
      </x:c>
      <x:c r="G25" s="392"/>
      <x:c r="H25" s="400" t="s">
        <x:v>124</x:v>
      </x:c>
      <x:c r="I25" s="401" t="s">
        <x:v>72</x:v>
      </x:c>
      <x:c r="J25" s="402" t="s">
        <x:v>45</x:v>
      </x:c>
      <x:c r="K25" s="402" t="s">
        <x:v>126</x:v>
      </x:c>
      <x:c r="L25" s="402" t="s">
        <x:v>125</x:v>
      </x:c>
      <x:c r="M25" s="406" t="s">
        <x:v>127</x:v>
      </x:c>
    </x:row>
    <x:row r="26" spans="1:17">
      <x:c r="A26" s="392"/>
      <x:c r="B26" s="398" t="s">
        <x:v>129</x:v>
      </x:c>
      <x:c r="C26" s="406" t="s">
        <x:v>129</x:v>
      </x:c>
      <x:c r="D26" s="406"/>
      <x:c r="E26" s="406"/>
      <x:c r="F26" s="406" t="s">
        <x:v>29</x:v>
      </x:c>
      <x:c r="G26" s="392"/>
      <x:c r="H26" s="400" t="s">
        <x:v>124</x:v>
      </x:c>
      <x:c r="I26" s="407" t="s">
        <x:v>130</x:v>
      </x:c>
      <x:c r="J26" s="402"/>
      <x:c r="K26" s="402"/>
      <x:c r="L26" s="402"/>
      <x:c r="M26" s="406" t="s">
        <x:v>127</x:v>
      </x:c>
    </x:row>
    <x:row r="27" spans="1:17">
      <x:c r="A27" s="409" t="s">
        <x:v>114</x:v>
      </x:c>
      <x:c r="B27" s="398" t="s">
        <x:v>131</x:v>
      </x:c>
      <x:c r="C27" s="406" t="s">
        <x:v>131</x:v>
      </x:c>
      <x:c r="D27" s="406"/>
      <x:c r="E27" s="406"/>
      <x:c r="F27" s="406" t="s">
        <x:v>71</x:v>
      </x:c>
      <x:c r="G27" s="392"/>
      <x:c r="H27" s="400" t="s">
        <x:v>124</x:v>
      </x:c>
      <x:c r="I27" s="407" t="s">
        <x:v>132</x:v>
      </x:c>
      <x:c r="J27" s="406"/>
      <x:c r="K27" s="406"/>
      <x:c r="L27" s="406"/>
      <x:c r="M27" s="406"/>
    </x:row>
    <x:row r="28" spans="1:17">
      <x:c r="A28" s="410"/>
      <x:c r="B28" s="398" t="s">
        <x:v>133</x:v>
      </x:c>
      <x:c r="C28" s="406" t="s">
        <x:v>133</x:v>
      </x:c>
      <x:c r="D28" s="406" t="s">
        <x:v>41</x:v>
      </x:c>
      <x:c r="E28" s="406" t="s">
        <x:v>42</x:v>
      </x:c>
      <x:c r="F28" s="406" t="s">
        <x:v>71</x:v>
      </x:c>
      <x:c r="G28" s="392" t="s">
        <x:v>134</x:v>
      </x:c>
      <x:c r="H28" s="400" t="s">
        <x:v>134</x:v>
      </x:c>
      <x:c r="I28" s="401" t="s">
        <x:v>32</x:v>
      </x:c>
      <x:c r="J28" s="402" t="s">
        <x:v>33</x:v>
      </x:c>
      <x:c r="K28" s="402">
        <x:v>2.5</x:v>
      </x:c>
      <x:c r="L28" s="402">
        <x:v>3.5</x:v>
      </x:c>
      <x:c r="M28" s="399" t="s">
        <x:v>34</x:v>
      </x:c>
    </x:row>
    <x:row r="29" spans="1:17">
      <x:c r="A29" s="410"/>
      <x:c r="B29" s="398" t="s">
        <x:v>135</x:v>
      </x:c>
      <x:c r="C29" s="406" t="s">
        <x:v>135</x:v>
      </x:c>
      <x:c r="D29" s="406"/>
      <x:c r="E29" s="406"/>
      <x:c r="F29" s="406" t="s">
        <x:v>71</x:v>
      </x:c>
      <x:c r="G29" s="392"/>
      <x:c r="H29" s="400" t="s">
        <x:v>134</x:v>
      </x:c>
      <x:c r="I29" s="401" t="s">
        <x:v>72</x:v>
      </x:c>
      <x:c r="J29" s="402" t="s">
        <x:v>45</x:v>
      </x:c>
      <x:c r="K29" s="402">
        <x:v>3.5</x:v>
      </x:c>
      <x:c r="L29" s="402">
        <x:v>2</x:v>
      </x:c>
      <x:c r="M29" s="402" t="s">
        <x:v>34</x:v>
      </x:c>
    </x:row>
    <x:row r="30" spans="1:17">
      <x:c r="A30" s="411"/>
      <x:c r="B30" s="398" t="s">
        <x:v>136</x:v>
      </x:c>
      <x:c r="C30" s="406" t="s">
        <x:v>136</x:v>
      </x:c>
      <x:c r="D30" s="406"/>
      <x:c r="E30" s="406"/>
      <x:c r="F30" s="406" t="s">
        <x:v>71</x:v>
      </x:c>
      <x:c r="G30" s="392"/>
      <x:c r="H30" s="400" t="s">
        <x:v>134</x:v>
      </x:c>
      <x:c r="I30" s="407" t="s">
        <x:v>137</x:v>
      </x:c>
      <x:c r="J30" s="402" t="s">
        <x:v>138</x:v>
      </x:c>
      <x:c r="K30" s="406"/>
      <x:c r="L30" s="406"/>
      <x:c r="M30" s="402" t="s">
        <x:v>51</x:v>
      </x:c>
    </x:row>
    <x:row r="31" spans="1:17">
      <x:c r="A31" s="409" t="s">
        <x:v>124</x:v>
      </x:c>
      <x:c r="B31" s="398" t="s">
        <x:v>139</x:v>
      </x:c>
      <x:c r="C31" s="406" t="s">
        <x:v>140</x:v>
      </x:c>
      <x:c r="D31" s="406" t="s">
        <x:v>141</x:v>
      </x:c>
      <x:c r="E31" s="406" t="s">
        <x:v>142</x:v>
      </x:c>
      <x:c r="F31" s="406" t="s">
        <x:v>124</x:v>
      </x:c>
      <x:c r="G31" s="392"/>
      <x:c r="H31" s="400" t="s">
        <x:v>134</x:v>
      </x:c>
      <x:c r="I31" s="407" t="s">
        <x:v>143</x:v>
      </x:c>
      <x:c r="J31" s="406"/>
      <x:c r="K31" s="406"/>
      <x:c r="L31" s="406"/>
      <x:c r="M31" s="406"/>
    </x:row>
    <x:row r="32" spans="1:17">
      <x:c r="A32" s="411"/>
      <x:c r="B32" s="398" t="s">
        <x:v>144</x:v>
      </x:c>
      <x:c r="C32" s="406" t="s">
        <x:v>140</x:v>
      </x:c>
      <x:c r="D32" s="406" t="s">
        <x:v>145</x:v>
      </x:c>
      <x:c r="E32" s="406" t="s">
        <x:v>146</x:v>
      </x:c>
      <x:c r="F32" s="406" t="s">
        <x:v>124</x:v>
      </x:c>
      <x:c r="G32" s="392" t="s">
        <x:v>147</x:v>
      </x:c>
      <x:c r="H32" s="412" t="s">
        <x:v>147</x:v>
      </x:c>
      <x:c r="I32" s="401" t="s">
        <x:v>32</x:v>
      </x:c>
      <x:c r="J32" s="402" t="s">
        <x:v>33</x:v>
      </x:c>
      <x:c r="K32" s="402">
        <x:v>2</x:v>
      </x:c>
      <x:c r="L32" s="402">
        <x:v>3.5</x:v>
      </x:c>
      <x:c r="M32" s="399" t="s">
        <x:v>34</x:v>
      </x:c>
    </x:row>
    <x:row r="33" spans="1:17">
      <x:c r="A33" s="409" t="s">
        <x:v>134</x:v>
      </x:c>
      <x:c r="B33" s="398" t="s">
        <x:v>148</x:v>
      </x:c>
      <x:c r="C33" s="406" t="s">
        <x:v>149</x:v>
      </x:c>
      <x:c r="D33" s="406" t="s">
        <x:v>47</x:v>
      </x:c>
      <x:c r="E33" s="406" t="s">
        <x:v>150</x:v>
      </x:c>
      <x:c r="F33" s="406" t="s">
        <x:v>71</x:v>
      </x:c>
      <x:c r="G33" s="392"/>
      <x:c r="H33" s="412" t="s">
        <x:v>147</x:v>
      </x:c>
      <x:c r="I33" s="401" t="s">
        <x:v>72</x:v>
      </x:c>
      <x:c r="J33" s="402" t="s">
        <x:v>45</x:v>
      </x:c>
      <x:c r="K33" s="402">
        <x:v>3.5</x:v>
      </x:c>
      <x:c r="L33" s="402">
        <x:v>2</x:v>
      </x:c>
      <x:c r="M33" s="402" t="s">
        <x:v>34</x:v>
      </x:c>
    </x:row>
    <x:row r="34" spans="1:17">
      <x:c r="A34" s="410"/>
      <x:c r="B34" s="398" t="s">
        <x:v>151</x:v>
      </x:c>
      <x:c r="C34" s="406" t="s">
        <x:v>152</x:v>
      </x:c>
      <x:c r="D34" s="406" t="s">
        <x:v>47</x:v>
      </x:c>
      <x:c r="E34" s="406" t="s">
        <x:v>150</x:v>
      </x:c>
      <x:c r="F34" s="406" t="s">
        <x:v>71</x:v>
      </x:c>
      <x:c r="G34" s="392"/>
      <x:c r="H34" s="412" t="s">
        <x:v>147</x:v>
      </x:c>
      <x:c r="I34" s="407" t="s">
        <x:v>153</x:v>
      </x:c>
      <x:c r="J34" s="406"/>
      <x:c r="K34" s="406"/>
      <x:c r="L34" s="406"/>
      <x:c r="M34" s="402" t="s">
        <x:v>51</x:v>
      </x:c>
    </x:row>
    <x:row r="35" spans="1:17">
      <x:c r="A35" s="410"/>
      <x:c r="B35" s="398" t="s">
        <x:v>154</x:v>
      </x:c>
      <x:c r="C35" s="406" t="s">
        <x:v>155</x:v>
      </x:c>
      <x:c r="D35" s="406" t="s">
        <x:v>47</x:v>
      </x:c>
      <x:c r="E35" s="406" t="s">
        <x:v>150</x:v>
      </x:c>
      <x:c r="F35" s="406" t="s">
        <x:v>71</x:v>
      </x:c>
      <x:c r="G35" s="392"/>
      <x:c r="H35" s="412" t="s">
        <x:v>147</x:v>
      </x:c>
      <x:c r="I35" s="407" t="s">
        <x:v>156</x:v>
      </x:c>
      <x:c r="J35" s="406"/>
      <x:c r="K35" s="406"/>
      <x:c r="L35" s="406"/>
      <x:c r="M35" s="406"/>
    </x:row>
    <x:row r="36" spans="1:17">
      <x:c r="A36" s="410"/>
      <x:c r="B36" s="398" t="s">
        <x:v>157</x:v>
      </x:c>
      <x:c r="C36" s="406" t="s">
        <x:v>158</x:v>
      </x:c>
      <x:c r="D36" s="406"/>
      <x:c r="E36" s="406"/>
      <x:c r="F36" s="406" t="s">
        <x:v>71</x:v>
      </x:c>
      <x:c r="G36" s="392" t="s">
        <x:v>159</x:v>
      </x:c>
      <x:c r="H36" s="400" t="s">
        <x:v>159</x:v>
      </x:c>
      <x:c r="I36" s="401" t="s">
        <x:v>32</x:v>
      </x:c>
      <x:c r="J36" s="402" t="s">
        <x:v>33</x:v>
      </x:c>
      <x:c r="K36" s="402">
        <x:v>2</x:v>
      </x:c>
      <x:c r="L36" s="402">
        <x:v>3.5</x:v>
      </x:c>
      <x:c r="M36" s="399" t="s">
        <x:v>34</x:v>
      </x:c>
    </x:row>
    <x:row r="37" spans="1:17">
      <x:c r="A37" s="410"/>
      <x:c r="B37" s="398" t="s">
        <x:v>160</x:v>
      </x:c>
      <x:c r="C37" s="406" t="s">
        <x:v>161</x:v>
      </x:c>
      <x:c r="D37" s="406"/>
      <x:c r="E37" s="406"/>
      <x:c r="F37" s="406" t="s">
        <x:v>71</x:v>
      </x:c>
      <x:c r="G37" s="392"/>
      <x:c r="H37" s="400" t="s">
        <x:v>159</x:v>
      </x:c>
      <x:c r="I37" s="401" t="s">
        <x:v>72</x:v>
      </x:c>
      <x:c r="J37" s="402" t="s">
        <x:v>45</x:v>
      </x:c>
      <x:c r="K37" s="402">
        <x:v>3.5</x:v>
      </x:c>
      <x:c r="L37" s="402">
        <x:v>2</x:v>
      </x:c>
      <x:c r="M37" s="402" t="s">
        <x:v>34</x:v>
      </x:c>
    </x:row>
    <x:row r="38" spans="1:17">
      <x:c r="A38" s="410"/>
      <x:c r="B38" s="398" t="s">
        <x:v>162</x:v>
      </x:c>
      <x:c r="C38" s="406" t="s">
        <x:v>163</x:v>
      </x:c>
      <x:c r="D38" s="406" t="s">
        <x:v>47</x:v>
      </x:c>
      <x:c r="E38" s="406" t="s">
        <x:v>150</x:v>
      </x:c>
      <x:c r="F38" s="406" t="s">
        <x:v>71</x:v>
      </x:c>
      <x:c r="G38" s="392"/>
      <x:c r="H38" s="400" t="s">
        <x:v>159</x:v>
      </x:c>
      <x:c r="I38" s="407" t="s">
        <x:v>164</x:v>
      </x:c>
      <x:c r="J38" s="402" t="s">
        <x:v>81</x:v>
      </x:c>
      <x:c r="K38" s="402">
        <x:v>4</x:v>
      </x:c>
      <x:c r="L38" s="402">
        <x:v>4</x:v>
      </x:c>
      <x:c r="M38" s="402" t="s">
        <x:v>51</x:v>
      </x:c>
    </x:row>
    <x:row r="39" spans="1:17">
      <x:c r="A39" s="410"/>
      <x:c r="B39" s="398" t="s">
        <x:v>165</x:v>
      </x:c>
      <x:c r="C39" s="406" t="s">
        <x:v>165</x:v>
      </x:c>
      <x:c r="D39" s="406"/>
      <x:c r="E39" s="406"/>
      <x:c r="F39" s="406" t="s">
        <x:v>71</x:v>
      </x:c>
      <x:c r="G39" s="392"/>
      <x:c r="H39" s="400" t="s">
        <x:v>159</x:v>
      </x:c>
      <x:c r="I39" s="407" t="s">
        <x:v>166</x:v>
      </x:c>
      <x:c r="J39" s="406"/>
      <x:c r="K39" s="406"/>
      <x:c r="L39" s="406"/>
      <x:c r="M39" s="406"/>
    </x:row>
    <x:row r="40" spans="1:17">
      <x:c r="A40" s="411"/>
      <x:c r="B40" s="398" t="s">
        <x:v>167</x:v>
      </x:c>
      <x:c r="C40" s="406" t="s">
        <x:v>167</x:v>
      </x:c>
      <x:c r="D40" s="406"/>
      <x:c r="E40" s="406"/>
      <x:c r="F40" s="406" t="s">
        <x:v>71</x:v>
      </x:c>
      <x:c r="G40" s="392" t="s">
        <x:v>168</x:v>
      </x:c>
      <x:c r="H40" s="400" t="s">
        <x:v>168</x:v>
      </x:c>
      <x:c r="I40" s="401" t="s">
        <x:v>32</x:v>
      </x:c>
      <x:c r="J40" s="402" t="s">
        <x:v>33</x:v>
      </x:c>
      <x:c r="K40" s="406"/>
      <x:c r="L40" s="406"/>
      <x:c r="M40" s="399" t="s">
        <x:v>34</x:v>
      </x:c>
    </x:row>
    <x:row r="41" spans="1:17">
      <x:c r="A41" s="409" t="s">
        <x:v>147</x:v>
      </x:c>
      <x:c r="B41" s="398" t="s">
        <x:v>169</x:v>
      </x:c>
      <x:c r="C41" s="406" t="s">
        <x:v>170</x:v>
      </x:c>
      <x:c r="D41" s="406" t="s">
        <x:v>41</x:v>
      </x:c>
      <x:c r="E41" s="406" t="s">
        <x:v>42</x:v>
      </x:c>
      <x:c r="F41" s="406" t="s">
        <x:v>71</x:v>
      </x:c>
      <x:c r="G41" s="392"/>
      <x:c r="H41" s="400" t="s">
        <x:v>168</x:v>
      </x:c>
      <x:c r="I41" s="401" t="s">
        <x:v>72</x:v>
      </x:c>
      <x:c r="J41" s="402" t="s">
        <x:v>45</x:v>
      </x:c>
      <x:c r="K41" s="406"/>
      <x:c r="L41" s="406"/>
      <x:c r="M41" s="402" t="s">
        <x:v>34</x:v>
      </x:c>
    </x:row>
    <x:row r="42" spans="1:17">
      <x:c r="A42" s="410"/>
      <x:c r="B42" s="398" t="s">
        <x:v>171</x:v>
      </x:c>
      <x:c r="C42" s="406" t="s">
        <x:v>152</x:v>
      </x:c>
      <x:c r="D42" s="406" t="s">
        <x:v>41</x:v>
      </x:c>
      <x:c r="E42" s="406" t="s">
        <x:v>42</x:v>
      </x:c>
      <x:c r="F42" s="406" t="s">
        <x:v>71</x:v>
      </x:c>
      <x:c r="G42" s="392"/>
      <x:c r="H42" s="400" t="s">
        <x:v>168</x:v>
      </x:c>
      <x:c r="I42" s="407" t="s">
        <x:v>172</x:v>
      </x:c>
      <x:c r="J42" s="406"/>
      <x:c r="K42" s="406"/>
      <x:c r="L42" s="406"/>
      <x:c r="M42" s="402" t="s">
        <x:v>51</x:v>
      </x:c>
    </x:row>
    <x:row r="43" spans="1:17">
      <x:c r="A43" s="410"/>
      <x:c r="B43" s="398" t="s">
        <x:v>173</x:v>
      </x:c>
      <x:c r="C43" s="406" t="s">
        <x:v>174</x:v>
      </x:c>
      <x:c r="D43" s="406" t="s">
        <x:v>41</x:v>
      </x:c>
      <x:c r="E43" s="406" t="s">
        <x:v>42</x:v>
      </x:c>
      <x:c r="F43" s="406" t="s">
        <x:v>71</x:v>
      </x:c>
      <x:c r="G43" s="392"/>
      <x:c r="H43" s="400" t="s">
        <x:v>168</x:v>
      </x:c>
      <x:c r="I43" s="407" t="s">
        <x:v>175</x:v>
      </x:c>
      <x:c r="J43" s="406"/>
      <x:c r="K43" s="406"/>
      <x:c r="L43" s="406"/>
      <x:c r="M43" s="406"/>
    </x:row>
    <x:row r="44" spans="1:17">
      <x:c r="A44" s="410"/>
      <x:c r="B44" s="405" t="s">
        <x:v>176</x:v>
      </x:c>
      <x:c r="C44" s="406" t="s">
        <x:v>155</x:v>
      </x:c>
      <x:c r="D44" s="406" t="s">
        <x:v>41</x:v>
      </x:c>
      <x:c r="E44" s="406" t="s">
        <x:v>42</x:v>
      </x:c>
      <x:c r="F44" s="406" t="s">
        <x:v>71</x:v>
      </x:c>
      <x:c r="G44" s="392" t="s">
        <x:v>177</x:v>
      </x:c>
      <x:c r="H44" s="400" t="s">
        <x:v>177</x:v>
      </x:c>
      <x:c r="I44" s="401" t="s">
        <x:v>32</x:v>
      </x:c>
      <x:c r="J44" s="402" t="s">
        <x:v>33</x:v>
      </x:c>
      <x:c r="K44" s="402">
        <x:v>2</x:v>
      </x:c>
      <x:c r="L44" s="402">
        <x:v>3.5</x:v>
      </x:c>
      <x:c r="M44" s="399" t="s">
        <x:v>34</x:v>
      </x:c>
    </x:row>
    <x:row r="45" spans="1:17">
      <x:c r="A45" s="410"/>
      <x:c r="B45" s="398" t="s">
        <x:v>178</x:v>
      </x:c>
      <x:c r="C45" s="406" t="s">
        <x:v>179</x:v>
      </x:c>
      <x:c r="D45" s="406"/>
      <x:c r="E45" s="406"/>
      <x:c r="F45" s="406" t="s">
        <x:v>71</x:v>
      </x:c>
      <x:c r="G45" s="392"/>
      <x:c r="H45" s="400" t="s">
        <x:v>177</x:v>
      </x:c>
      <x:c r="I45" s="401" t="s">
        <x:v>72</x:v>
      </x:c>
      <x:c r="J45" s="402" t="s">
        <x:v>45</x:v>
      </x:c>
      <x:c r="K45" s="406"/>
      <x:c r="L45" s="406"/>
      <x:c r="M45" s="402" t="s">
        <x:v>34</x:v>
      </x:c>
    </x:row>
    <x:row r="46" spans="1:17">
      <x:c r="A46" s="411"/>
      <x:c r="B46" s="405" t="s">
        <x:v>180</x:v>
      </x:c>
      <x:c r="C46" s="406" t="s">
        <x:v>163</x:v>
      </x:c>
      <x:c r="D46" s="406" t="s">
        <x:v>41</x:v>
      </x:c>
      <x:c r="E46" s="406" t="s">
        <x:v>42</x:v>
      </x:c>
      <x:c r="F46" s="406" t="s">
        <x:v>71</x:v>
      </x:c>
      <x:c r="G46" s="392"/>
      <x:c r="H46" s="400" t="s">
        <x:v>177</x:v>
      </x:c>
      <x:c r="I46" s="407" t="s">
        <x:v>181</x:v>
      </x:c>
      <x:c r="J46" s="406"/>
      <x:c r="K46" s="406"/>
      <x:c r="L46" s="406"/>
      <x:c r="M46" s="402" t="s">
        <x:v>51</x:v>
      </x:c>
    </x:row>
    <x:row r="47" spans="1:17">
      <x:c r="A47" s="409" t="s">
        <x:v>159</x:v>
      </x:c>
      <x:c r="B47" s="405" t="s">
        <x:v>182</x:v>
      </x:c>
      <x:c r="C47" s="406" t="s">
        <x:v>183</x:v>
      </x:c>
      <x:c r="D47" s="406" t="s">
        <x:v>184</x:v>
      </x:c>
      <x:c r="E47" s="406" t="s">
        <x:v>185</x:v>
      </x:c>
      <x:c r="F47" s="406" t="s">
        <x:v>71</x:v>
      </x:c>
      <x:c r="G47" s="392"/>
      <x:c r="H47" s="400" t="s">
        <x:v>177</x:v>
      </x:c>
      <x:c r="I47" s="407" t="s">
        <x:v>186</x:v>
      </x:c>
      <x:c r="J47" s="406"/>
      <x:c r="K47" s="406"/>
      <x:c r="L47" s="406"/>
      <x:c r="M47" s="406"/>
    </x:row>
    <x:row r="48" spans="1:17">
      <x:c r="A48" s="410"/>
      <x:c r="B48" s="398" t="s">
        <x:v>187</x:v>
      </x:c>
      <x:c r="C48" s="406" t="s">
        <x:v>188</x:v>
      </x:c>
      <x:c r="D48" s="406" t="s">
        <x:v>41</x:v>
      </x:c>
      <x:c r="E48" s="406" t="s">
        <x:v>42</x:v>
      </x:c>
      <x:c r="F48" s="406" t="s">
        <x:v>71</x:v>
      </x:c>
      <x:c r="G48" s="392" t="s">
        <x:v>189</x:v>
      </x:c>
      <x:c r="H48" s="413" t="s">
        <x:v>190</x:v>
      </x:c>
      <x:c r="I48" s="401" t="s">
        <x:v>32</x:v>
      </x:c>
      <x:c r="J48" s="402" t="s">
        <x:v>33</x:v>
      </x:c>
      <x:c r="K48" s="406"/>
      <x:c r="L48" s="406"/>
      <x:c r="M48" s="406"/>
    </x:row>
    <x:row r="49" spans="1:17">
      <x:c r="A49" s="410"/>
      <x:c r="B49" s="398" t="s">
        <x:v>191</x:v>
      </x:c>
      <x:c r="C49" s="406" t="s">
        <x:v>192</x:v>
      </x:c>
      <x:c r="D49" s="406"/>
      <x:c r="E49" s="406"/>
      <x:c r="F49" s="406" t="s">
        <x:v>71</x:v>
      </x:c>
      <x:c r="G49" s="392"/>
      <x:c r="H49" s="413" t="s">
        <x:v>193</x:v>
      </x:c>
      <x:c r="I49" s="401" t="s">
        <x:v>72</x:v>
      </x:c>
      <x:c r="J49" s="402" t="s">
        <x:v>45</x:v>
      </x:c>
      <x:c r="K49" s="406"/>
      <x:c r="L49" s="406"/>
      <x:c r="M49" s="406"/>
    </x:row>
    <x:row r="50" spans="1:17">
      <x:c r="A50" s="410"/>
      <x:c r="B50" s="398" t="s">
        <x:v>194</x:v>
      </x:c>
      <x:c r="C50" s="406" t="s">
        <x:v>195</x:v>
      </x:c>
      <x:c r="D50" s="406"/>
      <x:c r="E50" s="406"/>
      <x:c r="F50" s="406" t="s">
        <x:v>71</x:v>
      </x:c>
      <x:c r="G50" s="392"/>
      <x:c r="H50" s="413" t="s">
        <x:v>196</x:v>
      </x:c>
      <x:c r="I50" s="407" t="s">
        <x:v>197</x:v>
      </x:c>
      <x:c r="J50" s="406"/>
      <x:c r="K50" s="406"/>
      <x:c r="L50" s="406"/>
      <x:c r="M50" s="406"/>
    </x:row>
    <x:row r="51" spans="1:17">
      <x:c r="A51" s="410"/>
      <x:c r="B51" s="398" t="s">
        <x:v>198</x:v>
      </x:c>
      <x:c r="C51" s="406" t="s">
        <x:v>198</x:v>
      </x:c>
      <x:c r="D51" s="406"/>
      <x:c r="E51" s="406"/>
      <x:c r="F51" s="406" t="s">
        <x:v>71</x:v>
      </x:c>
      <x:c r="G51" s="392"/>
      <x:c r="H51" s="413" t="s">
        <x:v>199</x:v>
      </x:c>
      <x:c r="I51" s="407" t="s">
        <x:v>200</x:v>
      </x:c>
      <x:c r="J51" s="406"/>
      <x:c r="K51" s="406"/>
      <x:c r="L51" s="406"/>
      <x:c r="M51" s="406"/>
    </x:row>
    <x:row r="52" spans="1:17">
      <x:c r="A52" s="410"/>
      <x:c r="B52" s="398" t="s">
        <x:v>201</x:v>
      </x:c>
      <x:c r="C52" s="406" t="s">
        <x:v>201</x:v>
      </x:c>
      <x:c r="D52" s="406"/>
      <x:c r="E52" s="406"/>
      <x:c r="F52" s="406" t="s">
        <x:v>71</x:v>
      </x:c>
    </x:row>
    <x:row r="53" spans="1:17">
      <x:c r="A53" s="410"/>
      <x:c r="B53" s="398" t="s">
        <x:v>202</x:v>
      </x:c>
      <x:c r="C53" s="406" t="s">
        <x:v>203</x:v>
      </x:c>
      <x:c r="D53" s="406" t="s">
        <x:v>41</x:v>
      </x:c>
      <x:c r="E53" s="406" t="s">
        <x:v>42</x:v>
      </x:c>
      <x:c r="F53" s="406" t="s">
        <x:v>71</x:v>
      </x:c>
    </x:row>
    <x:row r="54" spans="1:17">
      <x:c r="A54" s="410"/>
      <x:c r="B54" s="398" t="s">
        <x:v>204</x:v>
      </x:c>
      <x:c r="C54" s="406" t="s">
        <x:v>204</x:v>
      </x:c>
      <x:c r="D54" s="406"/>
      <x:c r="E54" s="406"/>
      <x:c r="F54" s="406" t="s">
        <x:v>71</x:v>
      </x:c>
    </x:row>
    <x:row r="55" spans="1:17">
      <x:c r="A55" s="410"/>
      <x:c r="B55" s="398" t="s">
        <x:v>205</x:v>
      </x:c>
      <x:c r="C55" s="406" t="s">
        <x:v>205</x:v>
      </x:c>
      <x:c r="D55" s="406"/>
      <x:c r="E55" s="406"/>
      <x:c r="F55" s="406" t="s">
        <x:v>71</x:v>
      </x:c>
    </x:row>
    <x:row r="56" spans="1:17">
      <x:c r="A56" s="411"/>
      <x:c r="B56" s="398" t="s">
        <x:v>206</x:v>
      </x:c>
      <x:c r="C56" s="406" t="s">
        <x:v>206</x:v>
      </x:c>
      <x:c r="D56" s="406"/>
      <x:c r="E56" s="406"/>
      <x:c r="F56" s="406" t="s">
        <x:v>71</x:v>
      </x:c>
    </x:row>
    <x:row r="57" spans="1:17">
      <x:c r="A57" s="409" t="s">
        <x:v>168</x:v>
      </x:c>
      <x:c r="B57" s="398" t="s">
        <x:v>207</x:v>
      </x:c>
      <x:c r="C57" s="406" t="s">
        <x:v>207</x:v>
      </x:c>
      <x:c r="D57" s="406"/>
      <x:c r="E57" s="406"/>
      <x:c r="F57" s="406" t="s">
        <x:v>71</x:v>
      </x:c>
    </x:row>
    <x:row r="58" spans="1:17">
      <x:c r="A58" s="410"/>
      <x:c r="B58" s="398" t="s">
        <x:v>208</x:v>
      </x:c>
      <x:c r="C58" s="406" t="s">
        <x:v>208</x:v>
      </x:c>
      <x:c r="D58" s="406"/>
      <x:c r="E58" s="406"/>
      <x:c r="F58" s="406" t="s">
        <x:v>71</x:v>
      </x:c>
    </x:row>
    <x:row r="59" spans="1:17">
      <x:c r="A59" s="410"/>
      <x:c r="B59" s="398" t="s">
        <x:v>209</x:v>
      </x:c>
      <x:c r="C59" s="406" t="s">
        <x:v>209</x:v>
      </x:c>
      <x:c r="D59" s="406"/>
      <x:c r="E59" s="406"/>
      <x:c r="F59" s="406" t="s">
        <x:v>71</x:v>
      </x:c>
    </x:row>
    <x:row r="60" spans="1:17">
      <x:c r="A60" s="410"/>
      <x:c r="B60" s="398" t="s">
        <x:v>210</x:v>
      </x:c>
      <x:c r="C60" s="406" t="s">
        <x:v>210</x:v>
      </x:c>
      <x:c r="D60" s="406"/>
      <x:c r="E60" s="406"/>
      <x:c r="F60" s="406" t="s">
        <x:v>71</x:v>
      </x:c>
    </x:row>
    <x:row r="61" spans="1:17">
      <x:c r="A61" s="410"/>
      <x:c r="B61" s="398" t="s">
        <x:v>211</x:v>
      </x:c>
      <x:c r="C61" s="406" t="s">
        <x:v>211</x:v>
      </x:c>
      <x:c r="D61" s="406"/>
      <x:c r="E61" s="406"/>
      <x:c r="F61" s="406" t="s">
        <x:v>71</x:v>
      </x:c>
    </x:row>
    <x:row r="62" spans="1:17">
      <x:c r="A62" s="410"/>
      <x:c r="B62" s="398" t="s">
        <x:v>212</x:v>
      </x:c>
      <x:c r="C62" s="406" t="s">
        <x:v>212</x:v>
      </x:c>
      <x:c r="D62" s="406"/>
      <x:c r="E62" s="406"/>
      <x:c r="F62" s="406" t="s">
        <x:v>71</x:v>
      </x:c>
    </x:row>
    <x:row r="63" spans="1:17">
      <x:c r="A63" s="410"/>
      <x:c r="B63" s="398" t="s">
        <x:v>213</x:v>
      </x:c>
      <x:c r="C63" s="406" t="s">
        <x:v>213</x:v>
      </x:c>
      <x:c r="D63" s="406"/>
      <x:c r="E63" s="406"/>
      <x:c r="F63" s="406" t="s">
        <x:v>71</x:v>
      </x:c>
    </x:row>
    <x:row r="64" spans="1:17">
      <x:c r="A64" s="411"/>
      <x:c r="B64" s="398" t="s">
        <x:v>214</x:v>
      </x:c>
      <x:c r="C64" s="406" t="s">
        <x:v>214</x:v>
      </x:c>
      <x:c r="D64" s="406"/>
      <x:c r="E64" s="406"/>
      <x:c r="F64" s="406" t="s">
        <x:v>71</x:v>
      </x:c>
    </x:row>
    <x:row r="65" spans="1:17">
      <x:c r="A65" s="409" t="s">
        <x:v>177</x:v>
      </x:c>
      <x:c r="B65" s="398" t="s">
        <x:v>215</x:v>
      </x:c>
      <x:c r="C65" s="406" t="s">
        <x:v>215</x:v>
      </x:c>
      <x:c r="D65" s="406"/>
      <x:c r="E65" s="406"/>
      <x:c r="F65" s="406" t="s">
        <x:v>71</x:v>
      </x:c>
    </x:row>
    <x:row r="66" spans="1:17">
      <x:c r="A66" s="410"/>
      <x:c r="B66" s="398" t="s">
        <x:v>216</x:v>
      </x:c>
      <x:c r="C66" s="406" t="s">
        <x:v>217</x:v>
      </x:c>
      <x:c r="D66" s="406" t="s">
        <x:v>41</x:v>
      </x:c>
      <x:c r="E66" s="406" t="s">
        <x:v>42</x:v>
      </x:c>
      <x:c r="F66" s="406" t="s">
        <x:v>71</x:v>
      </x:c>
    </x:row>
    <x:row r="67" spans="1:17">
      <x:c r="A67" s="410"/>
      <x:c r="B67" s="398" t="s">
        <x:v>218</x:v>
      </x:c>
      <x:c r="C67" s="406" t="s">
        <x:v>218</x:v>
      </x:c>
      <x:c r="D67" s="406"/>
      <x:c r="E67" s="406"/>
      <x:c r="F67" s="406" t="s">
        <x:v>71</x:v>
      </x:c>
    </x:row>
    <x:row r="68" spans="1:17">
      <x:c r="A68" s="410"/>
      <x:c r="B68" s="398" t="s">
        <x:v>219</x:v>
      </x:c>
      <x:c r="C68" s="406" t="s">
        <x:v>219</x:v>
      </x:c>
      <x:c r="D68" s="406"/>
      <x:c r="E68" s="406"/>
      <x:c r="F68" s="406" t="s">
        <x:v>71</x:v>
      </x:c>
    </x:row>
    <x:row r="69" spans="1:17">
      <x:c r="A69" s="410"/>
      <x:c r="B69" s="398" t="s">
        <x:v>220</x:v>
      </x:c>
      <x:c r="C69" s="406" t="s">
        <x:v>220</x:v>
      </x:c>
      <x:c r="D69" s="406"/>
      <x:c r="E69" s="406"/>
      <x:c r="F69" s="406" t="s">
        <x:v>71</x:v>
      </x:c>
    </x:row>
    <x:row r="70" spans="1:17">
      <x:c r="A70" s="410"/>
      <x:c r="B70" s="398" t="s">
        <x:v>221</x:v>
      </x:c>
      <x:c r="C70" s="406" t="s">
        <x:v>221</x:v>
      </x:c>
      <x:c r="D70" s="406"/>
      <x:c r="E70" s="406"/>
      <x:c r="F70" s="406" t="s">
        <x:v>71</x:v>
      </x:c>
    </x:row>
    <x:row r="71" spans="1:17">
      <x:c r="A71" s="410"/>
      <x:c r="B71" s="398" t="s">
        <x:v>222</x:v>
      </x:c>
      <x:c r="C71" s="406" t="s">
        <x:v>222</x:v>
      </x:c>
      <x:c r="D71" s="406"/>
      <x:c r="E71" s="406"/>
      <x:c r="F71" s="406" t="s">
        <x:v>71</x:v>
      </x:c>
    </x:row>
    <x:row r="72" spans="1:17">
      <x:c r="A72" s="410"/>
      <x:c r="B72" s="398" t="s">
        <x:v>223</x:v>
      </x:c>
      <x:c r="C72" s="406" t="s">
        <x:v>223</x:v>
      </x:c>
      <x:c r="D72" s="406"/>
      <x:c r="E72" s="406"/>
      <x:c r="F72" s="406" t="s">
        <x:v>71</x:v>
      </x:c>
    </x:row>
    <x:row r="73" spans="1:17">
      <x:c r="A73" s="410"/>
      <x:c r="B73" s="398" t="s">
        <x:v>224</x:v>
      </x:c>
      <x:c r="C73" s="406" t="s">
        <x:v>224</x:v>
      </x:c>
      <x:c r="D73" s="406"/>
      <x:c r="E73" s="406"/>
      <x:c r="F73" s="406" t="s">
        <x:v>71</x:v>
      </x:c>
    </x:row>
    <x:row r="74" spans="1:17">
      <x:c r="A74" s="411"/>
      <x:c r="B74" s="398" t="s">
        <x:v>225</x:v>
      </x:c>
      <x:c r="C74" s="406" t="s">
        <x:v>225</x:v>
      </x:c>
      <x:c r="D74" s="406"/>
      <x:c r="E74" s="406"/>
      <x:c r="F74" s="406" t="s">
        <x:v>71</x:v>
      </x:c>
    </x:row>
    <x:row r="75" spans="1:17">
      <x:c r="A75" s="392" t="s">
        <x:v>226</x:v>
      </x:c>
      <x:c r="B75" s="405" t="s">
        <x:v>227</x:v>
      </x:c>
      <x:c r="C75" s="406"/>
      <x:c r="D75" s="406"/>
      <x:c r="E75" s="406"/>
      <x:c r="F75" s="406"/>
    </x:row>
  </x:sheetData>
  <x:mergeCells count="32">
    <x:mergeCell ref="A1:F1"/>
    <x:mergeCell ref="G1:M1"/>
    <x:mergeCell ref="N1:O1"/>
    <x:mergeCell ref="A2:A3"/>
    <x:mergeCell ref="C2:F2"/>
    <x:mergeCell ref="G2:G3"/>
    <x:mergeCell ref="H2:I2"/>
    <x:mergeCell ref="J2:M2"/>
    <x:mergeCell ref="O2:Q2"/>
    <x:mergeCell ref="A4:A8"/>
    <x:mergeCell ref="G4:G7"/>
    <x:mergeCell ref="G8:G11"/>
    <x:mergeCell ref="A9:A14"/>
    <x:mergeCell ref="G12:G15"/>
    <x:mergeCell ref="A15:A22"/>
    <x:mergeCell ref="G16:G19"/>
    <x:mergeCell ref="G20:G23"/>
    <x:mergeCell ref="A23:A26"/>
    <x:mergeCell ref="G24:G27"/>
    <x:mergeCell ref="A27:A30"/>
    <x:mergeCell ref="G28:G31"/>
    <x:mergeCell ref="A31:A32"/>
    <x:mergeCell ref="G32:G35"/>
    <x:mergeCell ref="A33:A40"/>
    <x:mergeCell ref="G36:G39"/>
    <x:mergeCell ref="G40:G43"/>
    <x:mergeCell ref="A41:A46"/>
    <x:mergeCell ref="G44:G47"/>
    <x:mergeCell ref="A47:A56"/>
    <x:mergeCell ref="G48:G51"/>
    <x:mergeCell ref="A57:A64"/>
    <x:mergeCell ref="A65:A74"/>
  </x:mergeCells>
  <x:phoneticPr fontId="4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B8869F-553C-48A6-835D-1DFAC145951B}" mc:Ignorable="x14ac xr xr2 xr3">
  <x:sheetPr>
    <x:outlinePr summaryBelow="1" summaryRight="1"/>
  </x:sheetPr>
  <x:dimension ref="A1:AM44"/>
  <x:sheetViews>
    <x:sheetView topLeftCell="Z1" workbookViewId="0">
      <x:pane xSplit="0" ySplit="3" topLeftCell="A4" activePane="bottomLeft" state="frozenSplit"/>
      <x:selection activeCell="Y6" sqref="Y6"/>
      <x:selection pane="bottomLeft" activeCell="Y6" sqref="Y6"/>
    </x:sheetView>
  </x:sheetViews>
  <x:sheetFormatPr defaultColWidth="8.886719" defaultRowHeight="16.5"/>
  <x:cols>
    <x:col min="1" max="1" width="22.441406" style="390" bestFit="1" customWidth="1"/>
    <x:col min="2" max="2" width="19.332031" style="390" bestFit="1" customWidth="1"/>
    <x:col min="3" max="3" width="16.332031" style="390" bestFit="1" customWidth="1"/>
    <x:col min="4" max="4" width="10.777344" style="390" bestFit="1" customWidth="1"/>
    <x:col min="5" max="5" width="12.109375" style="390" customWidth="1"/>
    <x:col min="6" max="6" width="10.664062" style="390" customWidth="1"/>
    <x:col min="7" max="7" width="15.109375" style="390" bestFit="1" customWidth="1"/>
    <x:col min="8" max="8" width="17.777344" style="390" bestFit="1" customWidth="1"/>
    <x:col min="9" max="9" width="18.664062" style="390" bestFit="1" customWidth="1"/>
    <x:col min="10" max="10" width="28" style="390" bestFit="1" customWidth="1"/>
    <x:col min="11" max="11" width="18.109375" style="390" customWidth="1"/>
    <x:col min="12" max="12" width="10.332031" style="390" customWidth="1"/>
    <x:col min="13" max="13" width="32.332031" style="390" bestFit="1" customWidth="1"/>
    <x:col min="14" max="14" width="11.886719" style="390" bestFit="1" customWidth="1"/>
    <x:col min="15" max="15" width="40.332031" style="390" bestFit="1" customWidth="1"/>
    <x:col min="16" max="16" width="9" style="390" bestFit="1" customWidth="1"/>
    <x:col min="17" max="17" width="22.777344" style="390" bestFit="1" customWidth="1"/>
    <x:col min="18" max="18" width="10.441406" style="390" customWidth="1"/>
    <x:col min="19" max="19" width="12.332031" style="390" bestFit="1" customWidth="1"/>
    <x:col min="20" max="20" width="13.441406" style="390" customWidth="1"/>
    <x:col min="21" max="21" width="9" style="390" customWidth="1"/>
    <x:col min="22" max="22" width="10.332031" style="390" bestFit="1" customWidth="1"/>
    <x:col min="23" max="23" width="10.554688" style="390" bestFit="1" customWidth="1"/>
    <x:col min="24" max="24" width="13.21875" style="390" customWidth="1"/>
    <x:col min="25" max="25" width="18.554688" style="390" bestFit="1" customWidth="1"/>
    <x:col min="26" max="26" width="21.554688" style="390" bestFit="1" customWidth="1"/>
    <x:col min="27" max="27" width="13.21875" style="390" customWidth="1"/>
    <x:col min="28" max="28" width="19.777344" style="390" bestFit="1" customWidth="1"/>
    <x:col min="29" max="29" width="21.554688" style="390" bestFit="1" customWidth="1"/>
    <x:col min="30" max="30" width="9.886719" style="390" bestFit="1" customWidth="1"/>
    <x:col min="31" max="31" width="17.332031" style="390" bestFit="1" customWidth="1"/>
    <x:col min="32" max="32" width="15.332031" style="390" customWidth="1"/>
    <x:col min="33" max="33" width="17.441406" style="390" bestFit="1" customWidth="1"/>
    <x:col min="34" max="34" width="14.109375" style="390" customWidth="1"/>
    <x:col min="35" max="16384" width="8.886719" style="390" customWidth="1"/>
  </x:cols>
  <x:sheetData>
    <x:row r="1" spans="1:39" ht="38.1" customHeight="1">
      <x:c r="A1" s="305" t="s">
        <x:v>228</x:v>
      </x:c>
      <x:c r="B1" s="305"/>
      <x:c r="C1" s="305"/>
      <x:c r="D1" s="305"/>
      <x:c r="E1" s="305"/>
      <x:c r="F1" s="305"/>
      <x:c r="G1" s="305"/>
      <x:c r="H1" s="305"/>
      <x:c r="I1" s="305" t="s">
        <x:v>229</x:v>
      </x:c>
      <x:c r="J1" s="305"/>
      <x:c r="K1" s="305"/>
      <x:c r="L1" s="305"/>
      <x:c r="M1" s="305" t="s">
        <x:v>230</x:v>
      </x:c>
      <x:c r="N1" s="305"/>
      <x:c r="O1" s="305"/>
      <x:c r="P1" s="305"/>
      <x:c r="Q1" s="305"/>
      <x:c r="R1" s="305"/>
      <x:c r="S1" s="305" t="s">
        <x:v>231</x:v>
      </x:c>
      <x:c r="T1" s="305"/>
      <x:c r="U1" s="305"/>
      <x:c r="V1" s="305"/>
      <x:c r="W1" s="305"/>
      <x:c r="X1" s="305"/>
      <x:c r="Y1" s="305" t="s">
        <x:v>232</x:v>
      </x:c>
      <x:c r="Z1" s="305"/>
      <x:c r="AA1" s="305"/>
      <x:c r="AB1" s="305" t="s">
        <x:v>233</x:v>
      </x:c>
      <x:c r="AC1" s="305"/>
      <x:c r="AD1" s="305"/>
      <x:c r="AE1" s="305" t="s">
        <x:v>234</x:v>
      </x:c>
      <x:c r="AF1" s="305"/>
      <x:c r="AG1" s="305" t="s">
        <x:v>235</x:v>
      </x:c>
      <x:c r="AH1" s="305"/>
      <x:c r="AI1" s="414"/>
      <x:c r="AJ1" s="414"/>
      <x:c r="AK1" s="414"/>
      <x:c r="AL1" s="414"/>
    </x:row>
    <x:row r="2" spans="1:39">
      <x:c r="A2" s="392" t="s">
        <x:v>236</x:v>
      </x:c>
      <x:c r="B2" s="392" t="s">
        <x:v>237</x:v>
      </x:c>
      <x:c r="C2" s="392"/>
      <x:c r="D2" s="392"/>
      <x:c r="E2" s="392"/>
      <x:c r="F2" s="392"/>
      <x:c r="G2" s="392" t="s">
        <x:v>238</x:v>
      </x:c>
      <x:c r="H2" s="392"/>
      <x:c r="I2" s="392" t="s">
        <x:v>239</x:v>
      </x:c>
      <x:c r="J2" s="392" t="s">
        <x:v>240</x:v>
      </x:c>
      <x:c r="K2" s="392"/>
      <x:c r="L2" s="392"/>
      <x:c r="M2" s="392" t="s">
        <x:v>241</x:v>
      </x:c>
      <x:c r="N2" s="392" t="s">
        <x:v>242</x:v>
      </x:c>
      <x:c r="O2" s="392"/>
      <x:c r="P2" s="392"/>
      <x:c r="Q2" s="392"/>
      <x:c r="R2" s="392"/>
      <x:c r="S2" s="392" t="s">
        <x:v>243</x:v>
      </x:c>
      <x:c r="T2" s="392" t="s">
        <x:v>244</x:v>
      </x:c>
      <x:c r="U2" s="392"/>
      <x:c r="V2" s="392"/>
      <x:c r="W2" s="392"/>
      <x:c r="X2" s="392"/>
      <x:c r="Y2" s="392" t="s">
        <x:v>245</x:v>
      </x:c>
      <x:c r="Z2" s="392" t="s">
        <x:v>246</x:v>
      </x:c>
      <x:c r="AA2" s="392"/>
      <x:c r="AB2" s="392" t="s">
        <x:v>247</x:v>
      </x:c>
      <x:c r="AC2" s="392" t="s">
        <x:v>248</x:v>
      </x:c>
      <x:c r="AD2" s="392"/>
      <x:c r="AE2" s="392" t="s">
        <x:v>249</x:v>
      </x:c>
      <x:c r="AF2" s="392" t="s">
        <x:v>250</x:v>
      </x:c>
      <x:c r="AG2" s="392" t="s">
        <x:v>251</x:v>
      </x:c>
      <x:c r="AH2" s="392" t="s">
        <x:v>252</x:v>
      </x:c>
      <x:c r="AI2" s="414"/>
      <x:c r="AJ2" s="414"/>
      <x:c r="AK2" s="414"/>
      <x:c r="AL2" s="414"/>
      <x:c r="AM2" s="414"/>
    </x:row>
    <x:row r="3" spans="1:39">
      <x:c r="A3" s="415" t="s">
        <x:v>253</x:v>
      </x:c>
      <x:c r="B3" s="391" t="s">
        <x:v>254</x:v>
      </x:c>
      <x:c r="C3" s="391" t="s">
        <x:v>255</x:v>
      </x:c>
      <x:c r="D3" s="391" t="s">
        <x:v>256</x:v>
      </x:c>
      <x:c r="E3" s="391" t="s">
        <x:v>257</x:v>
      </x:c>
      <x:c r="F3" s="391" t="s">
        <x:v>258</x:v>
      </x:c>
      <x:c r="G3" s="391" t="s">
        <x:v>259</x:v>
      </x:c>
      <x:c r="H3" s="391" t="s">
        <x:v>260</x:v>
      </x:c>
      <x:c r="I3" s="415" t="s">
        <x:v>261</x:v>
      </x:c>
      <x:c r="J3" s="391" t="s">
        <x:v>262</x:v>
      </x:c>
      <x:c r="K3" s="391" t="s">
        <x:v>263</x:v>
      </x:c>
      <x:c r="L3" s="391" t="s">
        <x:v>264</x:v>
      </x:c>
      <x:c r="M3" s="415" t="s">
        <x:v>265</x:v>
      </x:c>
      <x:c r="N3" s="391" t="s">
        <x:v>266</x:v>
      </x:c>
      <x:c r="O3" s="391" t="s">
        <x:v>267</x:v>
      </x:c>
      <x:c r="P3" s="391" t="s">
        <x:v>268</x:v>
      </x:c>
      <x:c r="Q3" s="391" t="s">
        <x:v>269</x:v>
      </x:c>
      <x:c r="R3" s="391" t="s">
        <x:v>270</x:v>
      </x:c>
      <x:c r="S3" s="415" t="s">
        <x:v>271</x:v>
      </x:c>
      <x:c r="T3" s="391" t="s">
        <x:v>272</x:v>
      </x:c>
      <x:c r="U3" s="391" t="s">
        <x:v>273</x:v>
      </x:c>
      <x:c r="V3" s="391" t="s">
        <x:v>274</x:v>
      </x:c>
      <x:c r="W3" s="391" t="s">
        <x:v>275</x:v>
      </x:c>
      <x:c r="X3" s="391" t="s">
        <x:v>276</x:v>
      </x:c>
      <x:c r="Y3" s="415" t="s">
        <x:v>277</x:v>
      </x:c>
      <x:c r="Z3" s="391" t="s">
        <x:v>278</x:v>
      </x:c>
      <x:c r="AA3" s="391" t="s">
        <x:v>279</x:v>
      </x:c>
      <x:c r="AB3" s="391" t="s">
        <x:v>280</x:v>
      </x:c>
      <x:c r="AC3" s="391" t="s">
        <x:v>281</x:v>
      </x:c>
      <x:c r="AD3" s="391" t="s">
        <x:v>279</x:v>
      </x:c>
      <x:c r="AE3" s="391" t="s">
        <x:v>282</x:v>
      </x:c>
      <x:c r="AF3" s="391" t="s">
        <x:v>279</x:v>
      </x:c>
      <x:c r="AG3" s="391" t="s">
        <x:v>283</x:v>
      </x:c>
      <x:c r="AH3" s="391" t="s">
        <x:v>279</x:v>
      </x:c>
      <x:c r="AI3" s="414"/>
      <x:c r="AJ3" s="414"/>
      <x:c r="AK3" s="414"/>
      <x:c r="AL3" s="414"/>
      <x:c r="AM3" s="414"/>
    </x:row>
    <x:row r="4" spans="1:39" ht="16.5" customHeight="1">
      <x:c r="A4" s="416" t="s">
        <x:v>284</x:v>
      </x:c>
      <x:c r="B4" s="406" t="s">
        <x:v>285</x:v>
      </x:c>
      <x:c r="C4" s="338" t="s">
        <x:v>286</x:v>
      </x:c>
      <x:c r="D4" s="338" t="s">
        <x:v>287</x:v>
      </x:c>
      <x:c r="E4" s="338" t="s">
        <x:v>288</x:v>
      </x:c>
      <x:c r="F4" s="399" t="s">
        <x:v>289</x:v>
      </x:c>
      <x:c r="G4" s="399" t="s">
        <x:v>290</x:v>
      </x:c>
      <x:c r="H4" s="399" t="s">
        <x:v>291</x:v>
      </x:c>
      <x:c r="I4" s="416" t="s">
        <x:v>292</x:v>
      </x:c>
      <x:c r="J4" s="417">
        <x:v>4</x:v>
      </x:c>
      <x:c r="K4" s="340" t="s">
        <x:v>293</x:v>
      </x:c>
      <x:c r="L4" s="399" t="s">
        <x:v>294</x:v>
      </x:c>
      <x:c r="M4" s="416" t="s">
        <x:v>295</x:v>
      </x:c>
      <x:c r="N4" s="340" t="s">
        <x:v>296</x:v>
      </x:c>
      <x:c r="O4" s="340" t="s">
        <x:v>297</x:v>
      </x:c>
      <x:c r="P4" s="340" t="s">
        <x:v>298</x:v>
      </x:c>
      <x:c r="Q4" s="340" t="s">
        <x:v>299</x:v>
      </x:c>
      <x:c r="R4" s="399" t="s">
        <x:v>300</x:v>
      </x:c>
      <x:c r="S4" s="416" t="s">
        <x:v>301</x:v>
      </x:c>
      <x:c r="T4" s="340" t="s">
        <x:v>302</x:v>
      </x:c>
      <x:c r="U4" s="340" t="s">
        <x:v>303</x:v>
      </x:c>
      <x:c r="V4" s="340" t="s">
        <x:v>304</x:v>
      </x:c>
      <x:c r="W4" s="418" t="s">
        <x:v>305</x:v>
      </x:c>
      <x:c r="X4" s="399" t="s">
        <x:v>306</x:v>
      </x:c>
      <x:c r="Y4" s="416" t="s">
        <x:v>307</x:v>
      </x:c>
      <x:c r="Z4" s="338" t="s">
        <x:v>308</x:v>
      </x:c>
      <x:c r="AA4" s="338" t="s">
        <x:v>309</x:v>
      </x:c>
      <x:c r="AB4" s="416" t="s">
        <x:v>310</x:v>
      </x:c>
      <x:c r="AC4" s="399">
        <x:v>1.4</x:v>
      </x:c>
      <x:c r="AD4" s="406" t="s">
        <x:v>311</x:v>
      </x:c>
      <x:c r="AE4" s="416" t="s">
        <x:v>312</x:v>
      </x:c>
      <x:c r="AF4" s="338" t="s">
        <x:v>313</x:v>
      </x:c>
      <x:c r="AG4" s="416" t="s">
        <x:v>314</x:v>
      </x:c>
      <x:c r="AH4" s="340" t="s">
        <x:v>315</x:v>
      </x:c>
      <x:c r="AI4" s="414"/>
      <x:c r="AJ4" s="414"/>
      <x:c r="AK4" s="414"/>
      <x:c r="AL4" s="414"/>
      <x:c r="AM4" s="414"/>
    </x:row>
    <x:row r="5" spans="1:39">
      <x:c r="A5" s="416" t="s">
        <x:v>316</x:v>
      </x:c>
      <x:c r="B5" s="406" t="s">
        <x:v>317</x:v>
      </x:c>
      <x:c r="C5" s="338" t="s">
        <x:v>318</x:v>
      </x:c>
      <x:c r="D5" s="338" t="s">
        <x:v>319</x:v>
      </x:c>
      <x:c r="E5" s="338" t="s">
        <x:v>320</x:v>
      </x:c>
      <x:c r="F5" s="399" t="s">
        <x:v>289</x:v>
      </x:c>
      <x:c r="G5" s="399" t="s">
        <x:v>321</x:v>
      </x:c>
      <x:c r="H5" s="399" t="s">
        <x:v>322</x:v>
      </x:c>
      <x:c r="I5" s="416" t="s">
        <x:v>323</x:v>
      </x:c>
      <x:c r="J5" s="399">
        <x:v>3.6</x:v>
      </x:c>
      <x:c r="K5" s="340" t="s">
        <x:v>324</x:v>
      </x:c>
      <x:c r="L5" s="399" t="s">
        <x:v>325</x:v>
      </x:c>
      <x:c r="M5" s="416" t="s">
        <x:v>326</x:v>
      </x:c>
      <x:c r="N5" s="340" t="s">
        <x:v>327</x:v>
      </x:c>
      <x:c r="O5" s="340" t="s">
        <x:v>328</x:v>
      </x:c>
      <x:c r="P5" s="340" t="s">
        <x:v>298</x:v>
      </x:c>
      <x:c r="Q5" s="340" t="s">
        <x:v>329</x:v>
      </x:c>
      <x:c r="R5" s="399" t="s">
        <x:v>300</x:v>
      </x:c>
      <x:c r="S5" s="416" t="s">
        <x:v>330</x:v>
      </x:c>
      <x:c r="T5" s="340" t="s">
        <x:v>331</x:v>
      </x:c>
      <x:c r="U5" s="340" t="s">
        <x:v>332</x:v>
      </x:c>
      <x:c r="V5" s="340" t="s">
        <x:v>298</x:v>
      </x:c>
      <x:c r="W5" s="418" t="s">
        <x:v>330</x:v>
      </x:c>
      <x:c r="X5" s="399" t="s">
        <x:v>306</x:v>
      </x:c>
      <x:c r="Y5" s="416" t="s">
        <x:v>333</x:v>
      </x:c>
      <x:c r="Z5" s="342"/>
      <x:c r="AA5" s="338" t="s">
        <x:v>334</x:v>
      </x:c>
      <x:c r="AB5" s="419"/>
      <x:c r="AC5" s="419"/>
      <x:c r="AD5" s="419"/>
      <x:c r="AE5" s="416" t="s">
        <x:v>335</x:v>
      </x:c>
      <x:c r="AF5" s="338" t="s">
        <x:v>336</x:v>
      </x:c>
      <x:c r="AG5" s="416" t="s">
        <x:v>337</x:v>
      </x:c>
      <x:c r="AH5" s="340" t="s">
        <x:v>315</x:v>
      </x:c>
      <x:c r="AI5" s="414"/>
      <x:c r="AJ5" s="414"/>
      <x:c r="AK5" s="414"/>
      <x:c r="AL5" s="414"/>
      <x:c r="AM5" s="414"/>
    </x:row>
    <x:row r="6" spans="1:39">
      <x:c r="A6" s="416" t="s">
        <x:v>338</x:v>
      </x:c>
      <x:c r="B6" s="406" t="s">
        <x:v>339</x:v>
      </x:c>
      <x:c r="C6" s="338" t="s">
        <x:v>340</x:v>
      </x:c>
      <x:c r="D6" s="338" t="s">
        <x:v>298</x:v>
      </x:c>
      <x:c r="E6" s="338" t="s">
        <x:v>341</x:v>
      </x:c>
      <x:c r="F6" s="399" t="s">
        <x:v>342</x:v>
      </x:c>
      <x:c r="G6" s="399" t="s">
        <x:v>343</x:v>
      </x:c>
      <x:c r="H6" s="399" t="s">
        <x:v>344</x:v>
      </x:c>
      <x:c r="I6" s="416" t="s">
        <x:v>345</x:v>
      </x:c>
      <x:c r="J6" s="399"/>
      <x:c r="K6" s="340" t="s">
        <x:v>346</x:v>
      </x:c>
      <x:c r="L6" s="399" t="s">
        <x:v>325</x:v>
      </x:c>
      <x:c r="M6" s="416" t="s">
        <x:v>347</x:v>
      </x:c>
      <x:c r="N6" s="340" t="s">
        <x:v>348</x:v>
      </x:c>
      <x:c r="O6" s="340" t="s">
        <x:v>349</x:v>
      </x:c>
      <x:c r="P6" s="340" t="s">
        <x:v>350</x:v>
      </x:c>
      <x:c r="Q6" s="340" t="s">
        <x:v>351</x:v>
      </x:c>
      <x:c r="R6" s="399" t="s">
        <x:v>352</x:v>
      </x:c>
      <x:c r="S6" s="416" t="s">
        <x:v>353</x:v>
      </x:c>
      <x:c r="T6" s="340" t="s">
        <x:v>354</x:v>
      </x:c>
      <x:c r="U6" s="340" t="s">
        <x:v>355</x:v>
      </x:c>
      <x:c r="V6" s="340" t="s">
        <x:v>356</x:v>
      </x:c>
      <x:c r="W6" s="418" t="s">
        <x:v>357</x:v>
      </x:c>
      <x:c r="X6" s="399" t="s">
        <x:v>306</x:v>
      </x:c>
      <x:c r="Y6" s="416" t="s">
        <x:v>358</x:v>
      </x:c>
      <x:c r="Z6" s="344">
        <x:v>2</x:v>
      </x:c>
      <x:c r="AA6" s="338" t="s">
        <x:v>359</x:v>
      </x:c>
      <x:c r="AB6" s="419"/>
      <x:c r="AC6" s="419"/>
      <x:c r="AD6" s="419"/>
      <x:c r="AE6" s="416" t="s">
        <x:v>360</x:v>
      </x:c>
      <x:c r="AF6" s="338" t="s">
        <x:v>361</x:v>
      </x:c>
      <x:c r="AG6" s="416" t="s">
        <x:v>362</x:v>
      </x:c>
      <x:c r="AH6" s="340" t="s">
        <x:v>362</x:v>
      </x:c>
      <x:c r="AI6" s="414"/>
      <x:c r="AJ6" s="414"/>
      <x:c r="AK6" s="414"/>
      <x:c r="AL6" s="414"/>
      <x:c r="AM6" s="414"/>
    </x:row>
    <x:row r="7" spans="1:39">
      <x:c r="A7" s="416" t="s">
        <x:v>363</x:v>
      </x:c>
      <x:c r="B7" s="406"/>
      <x:c r="C7" s="338" t="s">
        <x:v>340</x:v>
      </x:c>
      <x:c r="D7" s="338" t="s">
        <x:v>364</x:v>
      </x:c>
      <x:c r="E7" s="338" t="s">
        <x:v>365</x:v>
      </x:c>
      <x:c r="F7" s="399" t="s">
        <x:v>366</x:v>
      </x:c>
      <x:c r="G7" s="399"/>
      <x:c r="H7" s="399"/>
      <x:c r="I7" s="416" t="s">
        <x:v>367</x:v>
      </x:c>
      <x:c r="J7" s="399"/>
      <x:c r="K7" s="338" t="s">
        <x:v>368</x:v>
      </x:c>
      <x:c r="L7" s="399"/>
      <x:c r="M7" s="416" t="s">
        <x:v>369</x:v>
      </x:c>
      <x:c r="N7" s="340" t="s">
        <x:v>370</x:v>
      </x:c>
      <x:c r="O7" s="340" t="s">
        <x:v>371</x:v>
      </x:c>
      <x:c r="P7" s="340" t="s">
        <x:v>372</x:v>
      </x:c>
      <x:c r="Q7" s="340" t="s">
        <x:v>373</x:v>
      </x:c>
      <x:c r="R7" s="399" t="s">
        <x:v>300</x:v>
      </x:c>
      <x:c r="S7" s="416" t="s">
        <x:v>374</x:v>
      </x:c>
      <x:c r="T7" s="342"/>
      <x:c r="U7" s="342"/>
      <x:c r="V7" s="342"/>
      <x:c r="W7" s="338" t="s">
        <x:v>375</x:v>
      </x:c>
      <x:c r="X7" s="399" t="s">
        <x:v>306</x:v>
      </x:c>
      <x:c r="Y7" s="419"/>
      <x:c r="Z7" s="420"/>
      <x:c r="AB7" s="419"/>
      <x:c r="AC7" s="419"/>
      <x:c r="AD7" s="419"/>
      <x:c r="AE7" s="416" t="s">
        <x:v>376</x:v>
      </x:c>
      <x:c r="AF7" s="338" t="s">
        <x:v>377</x:v>
      </x:c>
      <x:c r="AG7" s="414"/>
      <x:c r="AH7" s="414"/>
      <x:c r="AI7" s="414"/>
      <x:c r="AJ7" s="414"/>
      <x:c r="AK7" s="414"/>
      <x:c r="AL7" s="414"/>
      <x:c r="AM7" s="414"/>
    </x:row>
    <x:row r="8" spans="1:39">
      <x:c r="A8" s="416" t="s">
        <x:v>378</x:v>
      </x:c>
      <x:c r="B8" s="406" t="s">
        <x:v>317</x:v>
      </x:c>
      <x:c r="C8" s="338" t="s">
        <x:v>379</x:v>
      </x:c>
      <x:c r="D8" s="338" t="s">
        <x:v>380</x:v>
      </x:c>
      <x:c r="E8" s="338" t="s">
        <x:v>381</x:v>
      </x:c>
      <x:c r="F8" s="399" t="s">
        <x:v>382</x:v>
      </x:c>
      <x:c r="G8" s="399" t="s">
        <x:v>383</x:v>
      </x:c>
      <x:c r="H8" s="399" t="s">
        <x:v>384</x:v>
      </x:c>
      <x:c r="I8" s="416" t="s">
        <x:v>385</x:v>
      </x:c>
      <x:c r="J8" s="399"/>
      <x:c r="K8" s="338" t="s">
        <x:v>386</x:v>
      </x:c>
      <x:c r="L8" s="406"/>
      <x:c r="M8" s="416" t="s">
        <x:v>387</x:v>
      </x:c>
      <x:c r="N8" s="340" t="s">
        <x:v>388</x:v>
      </x:c>
      <x:c r="O8" s="340" t="s">
        <x:v>389</x:v>
      </x:c>
      <x:c r="P8" s="340" t="s">
        <x:v>390</x:v>
      </x:c>
      <x:c r="Q8" s="340" t="s">
        <x:v>391</x:v>
      </x:c>
      <x:c r="R8" s="399" t="s">
        <x:v>392</x:v>
      </x:c>
      <x:c r="S8" s="416" t="s">
        <x:v>393</x:v>
      </x:c>
      <x:c r="T8" s="340" t="s">
        <x:v>331</x:v>
      </x:c>
      <x:c r="U8" s="340" t="s">
        <x:v>332</x:v>
      </x:c>
      <x:c r="V8" s="340" t="s">
        <x:v>394</x:v>
      </x:c>
      <x:c r="W8" s="418" t="s">
        <x:v>393</x:v>
      </x:c>
      <x:c r="X8" s="399" t="s">
        <x:v>306</x:v>
      </x:c>
      <x:c r="Y8" s="414"/>
      <x:c r="Z8" s="414"/>
      <x:c r="AA8" s="414"/>
      <x:c r="AB8" s="419"/>
      <x:c r="AC8" s="419"/>
      <x:c r="AD8" s="419"/>
      <x:c r="AE8" s="416" t="s">
        <x:v>395</x:v>
      </x:c>
      <x:c r="AF8" s="338" t="s">
        <x:v>395</x:v>
      </x:c>
      <x:c r="AG8" s="414"/>
      <x:c r="AH8" s="414"/>
      <x:c r="AI8" s="414"/>
      <x:c r="AJ8" s="414"/>
      <x:c r="AK8" s="414"/>
      <x:c r="AL8" s="414"/>
      <x:c r="AM8" s="414"/>
    </x:row>
    <x:row r="9" spans="1:39">
      <x:c r="A9" s="416" t="s">
        <x:v>396</x:v>
      </x:c>
      <x:c r="B9" s="406" t="s">
        <x:v>317</x:v>
      </x:c>
      <x:c r="C9" s="338" t="s">
        <x:v>397</x:v>
      </x:c>
      <x:c r="D9" s="338" t="s">
        <x:v>398</x:v>
      </x:c>
      <x:c r="E9" s="338" t="s">
        <x:v>399</x:v>
      </x:c>
      <x:c r="F9" s="406" t="s">
        <x:v>325</x:v>
      </x:c>
      <x:c r="G9" s="406" t="s">
        <x:v>317</x:v>
      </x:c>
      <x:c r="H9" s="406" t="s">
        <x:v>400</x:v>
      </x:c>
      <x:c r="I9" s="416" t="s">
        <x:v>401</x:v>
      </x:c>
      <x:c r="J9" s="417">
        <x:v>5</x:v>
      </x:c>
      <x:c r="K9" s="340" t="s">
        <x:v>402</x:v>
      </x:c>
      <x:c r="L9" s="406" t="s">
        <x:v>403</x:v>
      </x:c>
      <x:c r="M9" s="416" t="s">
        <x:v>404</x:v>
      </x:c>
      <x:c r="N9" s="340" t="s">
        <x:v>405</x:v>
      </x:c>
      <x:c r="O9" s="340" t="s">
        <x:v>406</x:v>
      </x:c>
      <x:c r="P9" s="340" t="s">
        <x:v>407</x:v>
      </x:c>
      <x:c r="Q9" s="340" t="s">
        <x:v>408</x:v>
      </x:c>
      <x:c r="R9" s="399" t="s">
        <x:v>409</x:v>
      </x:c>
      <x:c r="S9" s="416" t="s">
        <x:v>410</x:v>
      </x:c>
      <x:c r="T9" s="340" t="s">
        <x:v>331</x:v>
      </x:c>
      <x:c r="U9" s="340" t="s">
        <x:v>411</x:v>
      </x:c>
      <x:c r="V9" s="340" t="s">
        <x:v>298</x:v>
      </x:c>
      <x:c r="W9" s="418" t="s">
        <x:v>412</x:v>
      </x:c>
      <x:c r="X9" s="406" t="s">
        <x:v>413</x:v>
      </x:c>
      <x:c r="Y9" s="414"/>
      <x:c r="Z9" s="414"/>
      <x:c r="AA9" s="414"/>
      <x:c r="AB9" s="419"/>
      <x:c r="AC9" s="419"/>
      <x:c r="AD9" s="419"/>
      <x:c r="AE9" s="414"/>
      <x:c r="AF9" s="414"/>
      <x:c r="AG9" s="414"/>
      <x:c r="AH9" s="414"/>
      <x:c r="AI9" s="414"/>
      <x:c r="AJ9" s="414"/>
      <x:c r="AK9" s="414"/>
      <x:c r="AL9" s="414"/>
      <x:c r="AM9" s="414"/>
    </x:row>
    <x:row r="10" spans="1:39">
      <x:c r="A10" s="416" t="s">
        <x:v>414</x:v>
      </x:c>
      <x:c r="B10" s="406" t="s">
        <x:v>317</x:v>
      </x:c>
      <x:c r="C10" s="338" t="s">
        <x:v>415</x:v>
      </x:c>
      <x:c r="D10" s="338" t="s">
        <x:v>298</x:v>
      </x:c>
      <x:c r="E10" s="338" t="s">
        <x:v>399</x:v>
      </x:c>
      <x:c r="F10" s="406" t="s">
        <x:v>325</x:v>
      </x:c>
      <x:c r="G10" s="406" t="s">
        <x:v>317</x:v>
      </x:c>
      <x:c r="H10" s="406" t="s">
        <x:v>400</x:v>
      </x:c>
      <x:c r="I10" s="416" t="s">
        <x:v>416</x:v>
      </x:c>
      <x:c r="J10" s="399">
        <x:v>3.6</x:v>
      </x:c>
      <x:c r="K10" s="340" t="s">
        <x:v>417</x:v>
      </x:c>
      <x:c r="L10" s="406" t="s">
        <x:v>418</x:v>
      </x:c>
      <x:c r="M10" s="416" t="s">
        <x:v>419</x:v>
      </x:c>
      <x:c r="N10" s="338" t="s">
        <x:v>420</x:v>
      </x:c>
      <x:c r="O10" s="338" t="s">
        <x:v>421</x:v>
      </x:c>
      <x:c r="P10" s="338" t="s">
        <x:v>394</x:v>
      </x:c>
      <x:c r="Q10" s="340" t="s">
        <x:v>422</x:v>
      </x:c>
      <x:c r="R10" s="406" t="s">
        <x:v>392</x:v>
      </x:c>
      <x:c r="S10" s="416" t="s">
        <x:v>423</x:v>
      </x:c>
      <x:c r="T10" s="342" t="s">
        <x:v>331</x:v>
      </x:c>
      <x:c r="U10" s="340" t="s">
        <x:v>424</x:v>
      </x:c>
      <x:c r="V10" s="340" t="s">
        <x:v>394</x:v>
      </x:c>
      <x:c r="W10" s="418" t="s">
        <x:v>423</x:v>
      </x:c>
      <x:c r="X10" s="406" t="s">
        <x:v>425</x:v>
      </x:c>
      <x:c r="Y10" s="414"/>
      <x:c r="Z10" s="414"/>
      <x:c r="AA10" s="414"/>
      <x:c r="AB10" s="419"/>
      <x:c r="AC10" s="414"/>
      <x:c r="AD10" s="419"/>
      <x:c r="AG10" s="414"/>
      <x:c r="AH10" s="414"/>
      <x:c r="AI10" s="414"/>
      <x:c r="AJ10" s="414"/>
      <x:c r="AK10" s="414"/>
      <x:c r="AL10" s="414"/>
      <x:c r="AM10" s="414"/>
    </x:row>
    <x:row r="11" spans="1:39">
      <x:c r="A11" s="416" t="s">
        <x:v>426</x:v>
      </x:c>
      <x:c r="B11" s="406" t="s">
        <x:v>317</x:v>
      </x:c>
      <x:c r="C11" s="338" t="s">
        <x:v>415</x:v>
      </x:c>
      <x:c r="D11" s="338" t="s">
        <x:v>298</x:v>
      </x:c>
      <x:c r="E11" s="338" t="s">
        <x:v>427</x:v>
      </x:c>
      <x:c r="F11" s="406" t="s">
        <x:v>325</x:v>
      </x:c>
      <x:c r="G11" s="406" t="s">
        <x:v>317</x:v>
      </x:c>
      <x:c r="H11" s="406" t="s">
        <x:v>400</x:v>
      </x:c>
      <x:c r="I11" s="416" t="s">
        <x:v>428</x:v>
      </x:c>
      <x:c r="J11" s="399">
        <x:v>3.6</x:v>
      </x:c>
      <x:c r="K11" s="340" t="s">
        <x:v>429</x:v>
      </x:c>
      <x:c r="L11" s="406" t="s">
        <x:v>430</x:v>
      </x:c>
      <x:c r="M11" s="416" t="s">
        <x:v>431</x:v>
      </x:c>
      <x:c r="N11" s="338"/>
      <x:c r="O11" s="338"/>
      <x:c r="P11" s="338"/>
      <x:c r="Q11" s="338"/>
      <x:c r="R11" s="406"/>
      <x:c r="S11" s="416" t="s">
        <x:v>432</x:v>
      </x:c>
      <x:c r="T11" s="340" t="s">
        <x:v>433</x:v>
      </x:c>
      <x:c r="U11" s="340" t="s">
        <x:v>434</x:v>
      </x:c>
      <x:c r="V11" s="340" t="s">
        <x:v>435</x:v>
      </x:c>
      <x:c r="W11" s="418" t="s">
        <x:v>436</x:v>
      </x:c>
      <x:c r="X11" s="406" t="s">
        <x:v>413</x:v>
      </x:c>
      <x:c r="Y11" s="414"/>
      <x:c r="Z11" s="414"/>
      <x:c r="AA11" s="414"/>
      <x:c r="AB11" s="419"/>
      <x:c r="AC11" s="419"/>
      <x:c r="AD11" s="419"/>
      <x:c r="AG11" s="414"/>
      <x:c r="AH11" s="414"/>
      <x:c r="AI11" s="414"/>
      <x:c r="AJ11" s="414"/>
      <x:c r="AK11" s="414"/>
      <x:c r="AL11" s="414"/>
      <x:c r="AM11" s="414"/>
    </x:row>
    <x:row r="12" spans="1:39">
      <x:c r="A12" s="416" t="s">
        <x:v>437</x:v>
      </x:c>
      <x:c r="B12" s="406" t="s">
        <x:v>438</x:v>
      </x:c>
      <x:c r="C12" s="340" t="s">
        <x:v>439</x:v>
      </x:c>
      <x:c r="D12" s="340" t="s">
        <x:v>440</x:v>
      </x:c>
      <x:c r="E12" s="340" t="s">
        <x:v>441</x:v>
      </x:c>
      <x:c r="F12" s="406" t="s">
        <x:v>442</x:v>
      </x:c>
      <x:c r="G12" s="406" t="s">
        <x:v>443</x:v>
      </x:c>
      <x:c r="H12" s="406" t="s">
        <x:v>444</x:v>
      </x:c>
      <x:c r="I12" s="416" t="s">
        <x:v>445</x:v>
      </x:c>
      <x:c r="J12" s="399"/>
      <x:c r="K12" s="340" t="s">
        <x:v>446</x:v>
      </x:c>
      <x:c r="L12" s="406"/>
      <x:c r="M12" s="416" t="s">
        <x:v>447</x:v>
      </x:c>
      <x:c r="N12" s="338"/>
      <x:c r="O12" s="338"/>
      <x:c r="P12" s="338"/>
      <x:c r="Q12" s="338"/>
      <x:c r="R12" s="406"/>
      <x:c r="S12" s="416" t="s">
        <x:v>448</x:v>
      </x:c>
      <x:c r="T12" s="340" t="s">
        <x:v>449</x:v>
      </x:c>
      <x:c r="U12" s="340" t="s">
        <x:v>450</x:v>
      </x:c>
      <x:c r="V12" s="340" t="s">
        <x:v>451</x:v>
      </x:c>
      <x:c r="W12" s="418" t="s">
        <x:v>452</x:v>
      </x:c>
      <x:c r="X12" s="406" t="s">
        <x:v>403</x:v>
      </x:c>
      <x:c r="Y12" s="414"/>
      <x:c r="Z12" s="414"/>
      <x:c r="AA12" s="414"/>
      <x:c r="AB12" s="419"/>
      <x:c r="AC12" s="419"/>
      <x:c r="AD12" s="419"/>
      <x:c r="AG12" s="414"/>
      <x:c r="AH12" s="414"/>
      <x:c r="AI12" s="414"/>
      <x:c r="AJ12" s="414"/>
      <x:c r="AK12" s="414"/>
      <x:c r="AL12" s="414"/>
      <x:c r="AM12" s="414"/>
    </x:row>
    <x:row r="13" spans="1:39">
      <x:c r="A13" s="416" t="s">
        <x:v>453</x:v>
      </x:c>
      <x:c r="B13" s="406" t="s">
        <x:v>317</x:v>
      </x:c>
      <x:c r="C13" s="340" t="s">
        <x:v>454</x:v>
      </x:c>
      <x:c r="D13" s="340" t="s">
        <x:v>455</x:v>
      </x:c>
      <x:c r="E13" s="340" t="s">
        <x:v>456</x:v>
      </x:c>
      <x:c r="F13" s="406" t="s">
        <x:v>403</x:v>
      </x:c>
      <x:c r="G13" s="406" t="s">
        <x:v>457</x:v>
      </x:c>
      <x:c r="H13" s="406" t="s">
        <x:v>458</x:v>
      </x:c>
      <x:c r="I13" s="416" t="s">
        <x:v>459</x:v>
      </x:c>
      <x:c r="J13" s="399"/>
      <x:c r="K13" s="338" t="s">
        <x:v>460</x:v>
      </x:c>
      <x:c r="L13" s="406"/>
      <x:c r="M13" s="416" t="s">
        <x:v>461</x:v>
      </x:c>
      <x:c r="N13" s="338"/>
      <x:c r="O13" s="338"/>
      <x:c r="P13" s="338"/>
      <x:c r="Q13" s="338"/>
      <x:c r="R13" s="406"/>
      <x:c r="S13" s="416" t="s">
        <x:v>462</x:v>
      </x:c>
      <x:c r="T13" s="340" t="s">
        <x:v>331</x:v>
      </x:c>
      <x:c r="U13" s="340" t="s">
        <x:v>424</x:v>
      </x:c>
      <x:c r="V13" s="340" t="s">
        <x:v>463</x:v>
      </x:c>
      <x:c r="W13" s="418" t="s">
        <x:v>464</x:v>
      </x:c>
      <x:c r="X13" s="406" t="s">
        <x:v>403</x:v>
      </x:c>
      <x:c r="Y13" s="414"/>
      <x:c r="Z13" s="414"/>
      <x:c r="AA13" s="414"/>
      <x:c r="AB13" s="414"/>
      <x:c r="AC13" s="414"/>
      <x:c r="AD13" s="414"/>
      <x:c r="AG13" s="414"/>
      <x:c r="AH13" s="414"/>
      <x:c r="AI13" s="414"/>
      <x:c r="AJ13" s="414"/>
      <x:c r="AK13" s="414"/>
      <x:c r="AL13" s="414"/>
      <x:c r="AM13" s="414"/>
    </x:row>
    <x:row r="14" spans="1:39">
      <x:c r="A14" s="416" t="s">
        <x:v>465</x:v>
      </x:c>
      <x:c r="B14" s="406"/>
      <x:c r="C14" s="340" t="s">
        <x:v>340</x:v>
      </x:c>
      <x:c r="D14" s="340" t="s">
        <x:v>298</x:v>
      </x:c>
      <x:c r="E14" s="340" t="s">
        <x:v>466</x:v>
      </x:c>
      <x:c r="F14" s="406" t="s">
        <x:v>403</x:v>
      </x:c>
      <x:c r="G14" s="406"/>
      <x:c r="H14" s="406"/>
      <x:c r="M14" s="416" t="s">
        <x:v>467</x:v>
      </x:c>
      <x:c r="N14" s="338"/>
      <x:c r="O14" s="338"/>
      <x:c r="P14" s="338"/>
      <x:c r="Q14" s="338"/>
      <x:c r="R14" s="406"/>
      <x:c r="S14" s="414"/>
      <x:c r="T14" s="414"/>
      <x:c r="U14" s="414"/>
      <x:c r="V14" s="414"/>
      <x:c r="W14" s="414"/>
      <x:c r="X14" s="414"/>
      <x:c r="Y14" s="414"/>
      <x:c r="Z14" s="414"/>
      <x:c r="AA14" s="414"/>
      <x:c r="AB14" s="414"/>
      <x:c r="AC14" s="414"/>
      <x:c r="AD14" s="414"/>
      <x:c r="AG14" s="414"/>
      <x:c r="AH14" s="414"/>
      <x:c r="AI14" s="414"/>
      <x:c r="AJ14" s="414"/>
      <x:c r="AK14" s="414"/>
      <x:c r="AL14" s="414"/>
      <x:c r="AM14" s="414"/>
    </x:row>
    <x:row r="15" spans="1:39">
      <x:c r="A15" s="416" t="s">
        <x:v>468</x:v>
      </x:c>
      <x:c r="B15" s="406" t="s">
        <x:v>317</x:v>
      </x:c>
      <x:c r="C15" s="338" t="s">
        <x:v>469</x:v>
      </x:c>
      <x:c r="D15" s="338" t="s">
        <x:v>470</x:v>
      </x:c>
      <x:c r="E15" s="338" t="s">
        <x:v>471</x:v>
      </x:c>
      <x:c r="F15" s="406" t="s">
        <x:v>403</x:v>
      </x:c>
      <x:c r="G15" s="406" t="s">
        <x:v>472</x:v>
      </x:c>
      <x:c r="H15" s="406" t="s">
        <x:v>473</x:v>
      </x:c>
      <x:c r="M15" s="416" t="s">
        <x:v>474</x:v>
      </x:c>
      <x:c r="N15" s="338"/>
      <x:c r="O15" s="338"/>
      <x:c r="P15" s="338"/>
      <x:c r="Q15" s="338"/>
      <x:c r="R15" s="406"/>
      <x:c r="S15" s="414"/>
      <x:c r="T15" s="414"/>
      <x:c r="U15" s="414"/>
      <x:c r="V15" s="414"/>
      <x:c r="W15" s="414"/>
      <x:c r="X15" s="414"/>
      <x:c r="Y15" s="414"/>
      <x:c r="Z15" s="414"/>
      <x:c r="AA15" s="414"/>
      <x:c r="AB15" s="414"/>
      <x:c r="AC15" s="414"/>
      <x:c r="AD15" s="414"/>
      <x:c r="AG15" s="414"/>
      <x:c r="AH15" s="414"/>
      <x:c r="AI15" s="414"/>
      <x:c r="AJ15" s="414"/>
      <x:c r="AK15" s="414"/>
      <x:c r="AL15" s="414"/>
      <x:c r="AM15" s="414"/>
    </x:row>
    <x:row r="16" spans="1:39">
      <x:c r="A16" s="416" t="s">
        <x:v>475</x:v>
      </x:c>
      <x:c r="B16" s="406" t="s">
        <x:v>317</x:v>
      </x:c>
      <x:c r="C16" s="340" t="s">
        <x:v>476</x:v>
      </x:c>
      <x:c r="D16" s="338" t="s">
        <x:v>477</x:v>
      </x:c>
      <x:c r="E16" s="338" t="s">
        <x:v>478</x:v>
      </x:c>
      <x:c r="F16" s="406" t="s">
        <x:v>403</x:v>
      </x:c>
      <x:c r="G16" s="406" t="s">
        <x:v>317</x:v>
      </x:c>
      <x:c r="H16" s="406" t="s">
        <x:v>400</x:v>
      </x:c>
      <x:c r="I16" s="414"/>
      <x:c r="J16" s="414"/>
      <x:c r="K16" s="414"/>
      <x:c r="L16" s="414"/>
      <x:c r="M16" s="416" t="s">
        <x:v>479</x:v>
      </x:c>
      <x:c r="N16" s="340" t="s">
        <x:v>480</x:v>
      </x:c>
      <x:c r="O16" s="340" t="s">
        <x:v>481</x:v>
      </x:c>
      <x:c r="P16" s="340" t="s">
        <x:v>482</x:v>
      </x:c>
      <x:c r="Q16" s="340" t="s">
        <x:v>483</x:v>
      </x:c>
      <x:c r="R16" s="406" t="s">
        <x:v>484</x:v>
      </x:c>
      <x:c r="S16" s="414"/>
      <x:c r="T16" s="414"/>
      <x:c r="U16" s="414"/>
      <x:c r="V16" s="414"/>
      <x:c r="W16" s="414"/>
      <x:c r="X16" s="414"/>
      <x:c r="Y16" s="414"/>
      <x:c r="Z16" s="414"/>
      <x:c r="AA16" s="414"/>
      <x:c r="AB16" s="414"/>
      <x:c r="AC16" s="414"/>
      <x:c r="AD16" s="414"/>
      <x:c r="AE16" s="414"/>
      <x:c r="AF16" s="414"/>
      <x:c r="AG16" s="414"/>
      <x:c r="AH16" s="414"/>
      <x:c r="AI16" s="414"/>
      <x:c r="AJ16" s="414"/>
      <x:c r="AK16" s="414"/>
      <x:c r="AL16" s="414"/>
      <x:c r="AM16" s="414"/>
    </x:row>
    <x:row r="17" spans="1:39">
      <x:c r="A17" s="416" t="s">
        <x:v>485</x:v>
      </x:c>
      <x:c r="B17" s="406"/>
      <x:c r="C17" s="406"/>
      <x:c r="D17" s="406"/>
      <x:c r="E17" s="406" t="s">
        <x:v>486</x:v>
      </x:c>
      <x:c r="F17" s="406" t="s">
        <x:v>403</x:v>
      </x:c>
      <x:c r="G17" s="406"/>
      <x:c r="H17" s="406"/>
      <x:c r="I17" s="414"/>
      <x:c r="J17" s="414"/>
      <x:c r="K17" s="414"/>
      <x:c r="L17" s="414"/>
      <x:c r="M17" s="416" t="s">
        <x:v>487</x:v>
      </x:c>
      <x:c r="N17" s="340" t="s">
        <x:v>488</x:v>
      </x:c>
      <x:c r="O17" s="340" t="s">
        <x:v>489</x:v>
      </x:c>
      <x:c r="P17" s="340" t="s">
        <x:v>490</x:v>
      </x:c>
      <x:c r="Q17" s="340" t="s">
        <x:v>491</x:v>
      </x:c>
      <x:c r="R17" s="406" t="s">
        <x:v>492</x:v>
      </x:c>
      <x:c r="S17" s="414"/>
      <x:c r="T17" s="414"/>
      <x:c r="U17" s="414"/>
      <x:c r="V17" s="414"/>
      <x:c r="W17" s="414"/>
      <x:c r="X17" s="414"/>
      <x:c r="Y17" s="414"/>
      <x:c r="Z17" s="414"/>
      <x:c r="AA17" s="414"/>
      <x:c r="AB17" s="414"/>
      <x:c r="AC17" s="414"/>
      <x:c r="AD17" s="414"/>
      <x:c r="AE17" s="414"/>
      <x:c r="AF17" s="414"/>
      <x:c r="AG17" s="414"/>
      <x:c r="AH17" s="414"/>
      <x:c r="AI17" s="414"/>
      <x:c r="AJ17" s="414"/>
      <x:c r="AK17" s="414"/>
      <x:c r="AL17" s="414"/>
      <x:c r="AM17" s="414"/>
    </x:row>
    <x:row r="18" spans="1:39">
      <x:c r="A18" s="416" t="s">
        <x:v>493</x:v>
      </x:c>
      <x:c r="B18" s="406"/>
      <x:c r="C18" s="340" t="s">
        <x:v>494</x:v>
      </x:c>
      <x:c r="D18" s="340" t="s">
        <x:v>298</x:v>
      </x:c>
      <x:c r="E18" s="340" t="s">
        <x:v>495</x:v>
      </x:c>
      <x:c r="F18" s="406" t="s">
        <x:v>403</x:v>
      </x:c>
      <x:c r="G18" s="406"/>
      <x:c r="H18" s="406"/>
      <x:c r="I18" s="414"/>
      <x:c r="J18" s="414"/>
      <x:c r="K18" s="414"/>
      <x:c r="L18" s="414"/>
      <x:c r="M18" s="416" t="s">
        <x:v>496</x:v>
      </x:c>
      <x:c r="N18" s="340" t="s">
        <x:v>497</x:v>
      </x:c>
      <x:c r="O18" s="340" t="s">
        <x:v>498</x:v>
      </x:c>
      <x:c r="P18" s="340" t="s">
        <x:v>499</x:v>
      </x:c>
      <x:c r="Q18" s="340" t="s">
        <x:v>500</x:v>
      </x:c>
      <x:c r="R18" s="406" t="s">
        <x:v>501</x:v>
      </x:c>
      <x:c r="S18" s="414"/>
      <x:c r="T18" s="414"/>
      <x:c r="U18" s="414"/>
      <x:c r="V18" s="414"/>
      <x:c r="W18" s="414"/>
      <x:c r="X18" s="414"/>
      <x:c r="Y18" s="414"/>
      <x:c r="Z18" s="414"/>
      <x:c r="AA18" s="414"/>
      <x:c r="AB18" s="414"/>
      <x:c r="AC18" s="414"/>
      <x:c r="AD18" s="414"/>
      <x:c r="AE18" s="414"/>
      <x:c r="AF18" s="414"/>
      <x:c r="AG18" s="414"/>
      <x:c r="AH18" s="414"/>
      <x:c r="AI18" s="414"/>
      <x:c r="AJ18" s="414"/>
      <x:c r="AK18" s="414"/>
      <x:c r="AL18" s="414"/>
      <x:c r="AM18" s="414"/>
    </x:row>
    <x:row r="19" spans="1:39">
      <x:c r="A19" s="416" t="s">
        <x:v>502</x:v>
      </x:c>
      <x:c r="B19" s="406" t="s">
        <x:v>503</x:v>
      </x:c>
      <x:c r="C19" s="340" t="s">
        <x:v>504</x:v>
      </x:c>
      <x:c r="D19" s="340" t="s">
        <x:v>505</x:v>
      </x:c>
      <x:c r="E19" s="340" t="s">
        <x:v>506</x:v>
      </x:c>
      <x:c r="F19" s="406" t="s">
        <x:v>403</x:v>
      </x:c>
      <x:c r="G19" s="406" t="s">
        <x:v>507</x:v>
      </x:c>
      <x:c r="H19" s="406" t="s">
        <x:v>508</x:v>
      </x:c>
      <x:c r="I19" s="414"/>
      <x:c r="J19" s="414"/>
      <x:c r="K19" s="414"/>
      <x:c r="L19" s="414"/>
      <x:c r="M19" s="416" t="s">
        <x:v>509</x:v>
      </x:c>
      <x:c r="N19" s="338"/>
      <x:c r="O19" s="338"/>
      <x:c r="P19" s="338"/>
      <x:c r="Q19" s="340" t="s">
        <x:v>500</x:v>
      </x:c>
      <x:c r="R19" s="406" t="s">
        <x:v>510</x:v>
      </x:c>
      <x:c r="S19" s="414"/>
      <x:c r="T19" s="414"/>
      <x:c r="U19" s="414"/>
      <x:c r="V19" s="414"/>
      <x:c r="W19" s="414"/>
      <x:c r="X19" s="414"/>
      <x:c r="Y19" s="414"/>
      <x:c r="Z19" s="414"/>
      <x:c r="AA19" s="414"/>
      <x:c r="AB19" s="414"/>
      <x:c r="AC19" s="414"/>
      <x:c r="AD19" s="414"/>
      <x:c r="AE19" s="414"/>
      <x:c r="AF19" s="414"/>
      <x:c r="AG19" s="414"/>
      <x:c r="AH19" s="414"/>
      <x:c r="AI19" s="414"/>
      <x:c r="AJ19" s="414"/>
      <x:c r="AK19" s="414"/>
      <x:c r="AL19" s="414"/>
      <x:c r="AM19" s="414"/>
    </x:row>
    <x:row r="20" spans="1:39">
      <x:c r="A20" s="416" t="s">
        <x:v>511</x:v>
      </x:c>
      <x:c r="B20" s="406"/>
      <x:c r="C20" s="340" t="s">
        <x:v>512</x:v>
      </x:c>
      <x:c r="D20" s="340" t="s">
        <x:v>513</x:v>
      </x:c>
      <x:c r="E20" s="340" t="s">
        <x:v>514</x:v>
      </x:c>
      <x:c r="F20" s="406" t="s">
        <x:v>403</x:v>
      </x:c>
      <x:c r="G20" s="406"/>
      <x:c r="H20" s="406"/>
      <x:c r="I20" s="414"/>
      <x:c r="J20" s="414"/>
      <x:c r="K20" s="414"/>
      <x:c r="L20" s="414"/>
      <x:c r="M20" s="416" t="s">
        <x:v>515</x:v>
      </x:c>
      <x:c r="N20" s="340" t="s">
        <x:v>516</x:v>
      </x:c>
      <x:c r="O20" s="340" t="s">
        <x:v>498</x:v>
      </x:c>
      <x:c r="P20" s="340" t="s">
        <x:v>499</x:v>
      </x:c>
      <x:c r="Q20" s="340" t="s">
        <x:v>517</x:v>
      </x:c>
      <x:c r="R20" s="406" t="s">
        <x:v>518</x:v>
      </x:c>
      <x:c r="S20" s="414"/>
      <x:c r="T20" s="414"/>
      <x:c r="U20" s="414"/>
      <x:c r="V20" s="414"/>
      <x:c r="W20" s="414"/>
      <x:c r="X20" s="414"/>
      <x:c r="Y20" s="414"/>
      <x:c r="Z20" s="414"/>
      <x:c r="AA20" s="414"/>
      <x:c r="AB20" s="414"/>
      <x:c r="AC20" s="414"/>
      <x:c r="AD20" s="414"/>
      <x:c r="AE20" s="414"/>
      <x:c r="AF20" s="414"/>
      <x:c r="AG20" s="414"/>
      <x:c r="AH20" s="414"/>
      <x:c r="AI20" s="414"/>
      <x:c r="AJ20" s="414"/>
      <x:c r="AK20" s="414"/>
      <x:c r="AL20" s="414"/>
      <x:c r="AM20" s="414"/>
    </x:row>
    <x:row r="21" spans="1:39">
      <x:c r="A21" s="416" t="s">
        <x:v>519</x:v>
      </x:c>
      <x:c r="B21" s="406" t="s">
        <x:v>317</x:v>
      </x:c>
      <x:c r="C21" s="340" t="s">
        <x:v>520</x:v>
      </x:c>
      <x:c r="D21" s="340" t="s">
        <x:v>521</x:v>
      </x:c>
      <x:c r="E21" s="340" t="s">
        <x:v>522</x:v>
      </x:c>
      <x:c r="F21" s="406" t="s">
        <x:v>403</x:v>
      </x:c>
      <x:c r="G21" s="406" t="s">
        <x:v>523</x:v>
      </x:c>
      <x:c r="H21" s="406" t="s">
        <x:v>524</x:v>
      </x:c>
      <x:c r="I21" s="414"/>
      <x:c r="J21" s="414"/>
      <x:c r="K21" s="414"/>
      <x:c r="L21" s="414"/>
      <x:c r="M21" s="416" t="s">
        <x:v>525</x:v>
      </x:c>
      <x:c r="N21" s="338" t="s">
        <x:v>497</x:v>
      </x:c>
      <x:c r="O21" s="338" t="s">
        <x:v>526</x:v>
      </x:c>
      <x:c r="P21" s="338" t="s">
        <x:v>298</x:v>
      </x:c>
      <x:c r="Q21" s="338" t="s">
        <x:v>527</x:v>
      </x:c>
      <x:c r="R21" s="406" t="s">
        <x:v>528</x:v>
      </x:c>
      <x:c r="S21" s="414"/>
      <x:c r="T21" s="414"/>
      <x:c r="U21" s="414"/>
      <x:c r="V21" s="414"/>
      <x:c r="W21" s="414"/>
      <x:c r="X21" s="414"/>
      <x:c r="Y21" s="414"/>
      <x:c r="Z21" s="414"/>
      <x:c r="AA21" s="414"/>
      <x:c r="AB21" s="414"/>
      <x:c r="AC21" s="414"/>
      <x:c r="AD21" s="414"/>
      <x:c r="AE21" s="414"/>
      <x:c r="AF21" s="414"/>
      <x:c r="AG21" s="414"/>
      <x:c r="AH21" s="414"/>
      <x:c r="AI21" s="414"/>
      <x:c r="AJ21" s="414"/>
      <x:c r="AK21" s="414"/>
      <x:c r="AL21" s="414"/>
      <x:c r="AM21" s="414"/>
    </x:row>
    <x:row r="22" spans="1:39">
      <x:c r="A22" s="416" t="s">
        <x:v>529</x:v>
      </x:c>
      <x:c r="B22" s="406"/>
      <x:c r="C22" s="338"/>
      <x:c r="D22" s="338"/>
      <x:c r="E22" s="338" t="s">
        <x:v>530</x:v>
      </x:c>
      <x:c r="F22" s="406" t="s">
        <x:v>403</x:v>
      </x:c>
      <x:c r="G22" s="406"/>
      <x:c r="H22" s="406"/>
      <x:c r="I22" s="414"/>
      <x:c r="J22" s="414"/>
      <x:c r="K22" s="414"/>
      <x:c r="L22" s="414"/>
      <x:c r="M22" s="416" t="s">
        <x:v>531</x:v>
      </x:c>
      <x:c r="N22" s="340" t="s">
        <x:v>532</x:v>
      </x:c>
      <x:c r="O22" s="340" t="s">
        <x:v>533</x:v>
      </x:c>
      <x:c r="P22" s="340" t="s">
        <x:v>534</x:v>
      </x:c>
      <x:c r="Q22" s="340" t="s">
        <x:v>535</x:v>
      </x:c>
      <x:c r="R22" s="406" t="s">
        <x:v>536</x:v>
      </x:c>
      <x:c r="S22" s="414"/>
      <x:c r="T22" s="414"/>
      <x:c r="U22" s="414"/>
      <x:c r="V22" s="414"/>
      <x:c r="W22" s="414"/>
      <x:c r="X22" s="414"/>
      <x:c r="Y22" s="414"/>
      <x:c r="Z22" s="414"/>
      <x:c r="AA22" s="414"/>
      <x:c r="AB22" s="414"/>
      <x:c r="AC22" s="414"/>
      <x:c r="AD22" s="414"/>
      <x:c r="AE22" s="414"/>
      <x:c r="AF22" s="414"/>
      <x:c r="AI22" s="414"/>
      <x:c r="AJ22" s="414"/>
      <x:c r="AK22" s="414"/>
      <x:c r="AL22" s="414"/>
      <x:c r="AM22" s="414"/>
    </x:row>
    <x:row r="23" spans="1:39">
      <x:c r="A23" s="416" t="s">
        <x:v>537</x:v>
      </x:c>
      <x:c r="B23" s="406"/>
      <x:c r="C23" s="338"/>
      <x:c r="D23" s="338"/>
      <x:c r="E23" s="338" t="s">
        <x:v>530</x:v>
      </x:c>
      <x:c r="F23" s="406" t="s">
        <x:v>403</x:v>
      </x:c>
      <x:c r="G23" s="406"/>
      <x:c r="H23" s="406"/>
      <x:c r="I23" s="414"/>
      <x:c r="J23" s="414"/>
      <x:c r="K23" s="414"/>
      <x:c r="L23" s="414"/>
      <x:c r="M23" s="416" t="s">
        <x:v>538</x:v>
      </x:c>
      <x:c r="N23" s="338"/>
      <x:c r="O23" s="338"/>
      <x:c r="P23" s="338"/>
      <x:c r="Q23" s="340" t="s">
        <x:v>539</x:v>
      </x:c>
      <x:c r="R23" s="406" t="s">
        <x:v>536</x:v>
      </x:c>
      <x:c r="S23" s="414"/>
      <x:c r="T23" s="414"/>
      <x:c r="U23" s="414"/>
      <x:c r="V23" s="414"/>
      <x:c r="W23" s="414"/>
      <x:c r="X23" s="414"/>
      <x:c r="Y23" s="414"/>
      <x:c r="Z23" s="414"/>
      <x:c r="AA23" s="414"/>
      <x:c r="AB23" s="414"/>
      <x:c r="AC23" s="414"/>
      <x:c r="AD23" s="414"/>
      <x:c r="AE23" s="414"/>
      <x:c r="AF23" s="414"/>
      <x:c r="AI23" s="414"/>
      <x:c r="AJ23" s="414"/>
      <x:c r="AK23" s="414"/>
      <x:c r="AL23" s="414"/>
      <x:c r="AM23" s="414"/>
    </x:row>
    <x:row r="24" spans="1:39">
      <x:c r="A24" s="416" t="s">
        <x:v>540</x:v>
      </x:c>
      <x:c r="B24" s="406" t="s">
        <x:v>317</x:v>
      </x:c>
      <x:c r="C24" s="340" t="s">
        <x:v>504</x:v>
      </x:c>
      <x:c r="D24" s="340" t="s">
        <x:v>394</x:v>
      </x:c>
      <x:c r="E24" s="340" t="s">
        <x:v>541</x:v>
      </x:c>
      <x:c r="F24" s="406" t="s">
        <x:v>403</x:v>
      </x:c>
      <x:c r="G24" s="406" t="s">
        <x:v>317</x:v>
      </x:c>
      <x:c r="H24" s="406" t="s">
        <x:v>400</x:v>
      </x:c>
      <x:c r="I24" s="414"/>
      <x:c r="J24" s="414"/>
      <x:c r="K24" s="414"/>
      <x:c r="L24" s="414"/>
      <x:c r="M24" s="416" t="s">
        <x:v>542</x:v>
      </x:c>
      <x:c r="N24" s="340" t="s">
        <x:v>497</x:v>
      </x:c>
      <x:c r="O24" s="340" t="s">
        <x:v>543</x:v>
      </x:c>
      <x:c r="P24" s="340" t="s">
        <x:v>298</x:v>
      </x:c>
      <x:c r="Q24" s="340" t="s">
        <x:v>544</x:v>
      </x:c>
      <x:c r="R24" s="406" t="s">
        <x:v>545</x:v>
      </x:c>
      <x:c r="S24" s="414"/>
      <x:c r="T24" s="414"/>
      <x:c r="U24" s="414"/>
      <x:c r="V24" s="414"/>
      <x:c r="W24" s="414"/>
      <x:c r="X24" s="414"/>
      <x:c r="Y24" s="414"/>
      <x:c r="Z24" s="414"/>
      <x:c r="AA24" s="414"/>
      <x:c r="AB24" s="414"/>
      <x:c r="AC24" s="414"/>
      <x:c r="AD24" s="414"/>
      <x:c r="AE24" s="414"/>
      <x:c r="AF24" s="414"/>
      <x:c r="AI24" s="414"/>
      <x:c r="AJ24" s="414"/>
      <x:c r="AK24" s="414"/>
      <x:c r="AL24" s="414"/>
      <x:c r="AM24" s="414"/>
    </x:row>
    <x:row r="25" spans="1:39">
      <x:c r="A25" s="416" t="s">
        <x:v>546</x:v>
      </x:c>
      <x:c r="B25" s="406" t="s">
        <x:v>317</x:v>
      </x:c>
      <x:c r="C25" s="338" t="s">
        <x:v>340</x:v>
      </x:c>
      <x:c r="D25" s="338" t="s">
        <x:v>547</x:v>
      </x:c>
      <x:c r="E25" s="338" t="s">
        <x:v>548</x:v>
      </x:c>
      <x:c r="F25" s="406" t="s">
        <x:v>418</x:v>
      </x:c>
      <x:c r="G25" s="406" t="s">
        <x:v>549</x:v>
      </x:c>
      <x:c r="H25" s="406" t="s">
        <x:v>550</x:v>
      </x:c>
      <x:c r="I25" s="414"/>
      <x:c r="J25" s="414"/>
      <x:c r="K25" s="414"/>
      <x:c r="L25" s="414"/>
      <x:c r="M25" s="416" t="s">
        <x:v>551</x:v>
      </x:c>
      <x:c r="N25" s="338"/>
      <x:c r="O25" s="338"/>
      <x:c r="P25" s="338"/>
      <x:c r="Q25" s="340" t="s">
        <x:v>552</x:v>
      </x:c>
      <x:c r="R25" s="406" t="s">
        <x:v>536</x:v>
      </x:c>
      <x:c r="S25" s="414"/>
      <x:c r="T25" s="414"/>
      <x:c r="U25" s="414"/>
      <x:c r="V25" s="414"/>
      <x:c r="W25" s="414"/>
      <x:c r="X25" s="414"/>
      <x:c r="Y25" s="414"/>
      <x:c r="Z25" s="414"/>
      <x:c r="AA25" s="414"/>
      <x:c r="AB25" s="414"/>
      <x:c r="AC25" s="414"/>
      <x:c r="AD25" s="414"/>
      <x:c r="AE25" s="414"/>
      <x:c r="AF25" s="414"/>
      <x:c r="AI25" s="414"/>
      <x:c r="AJ25" s="414"/>
      <x:c r="AK25" s="414"/>
      <x:c r="AL25" s="414"/>
      <x:c r="AM25" s="414"/>
    </x:row>
    <x:row r="26" spans="1:39">
      <x:c r="A26" s="416" t="s">
        <x:v>553</x:v>
      </x:c>
      <x:c r="B26" s="406" t="s">
        <x:v>317</x:v>
      </x:c>
      <x:c r="C26" s="338" t="s">
        <x:v>340</x:v>
      </x:c>
      <x:c r="D26" s="338" t="s">
        <x:v>554</x:v>
      </x:c>
      <x:c r="E26" s="338" t="s">
        <x:v>555</x:v>
      </x:c>
      <x:c r="F26" s="406" t="s">
        <x:v>418</x:v>
      </x:c>
      <x:c r="G26" s="406" t="s">
        <x:v>556</x:v>
      </x:c>
      <x:c r="H26" s="406" t="s">
        <x:v>557</x:v>
      </x:c>
      <x:c r="I26" s="414"/>
      <x:c r="J26" s="414"/>
      <x:c r="K26" s="414"/>
      <x:c r="L26" s="414"/>
      <x:c r="M26" s="416" t="s">
        <x:v>558</x:v>
      </x:c>
      <x:c r="N26" s="340" t="s">
        <x:v>480</x:v>
      </x:c>
      <x:c r="O26" s="340" t="s">
        <x:v>498</x:v>
      </x:c>
      <x:c r="P26" s="340" t="s">
        <x:v>298</x:v>
      </x:c>
      <x:c r="Q26" s="340" t="s">
        <x:v>544</x:v>
      </x:c>
      <x:c r="R26" s="406" t="s">
        <x:v>536</x:v>
      </x:c>
      <x:c r="S26" s="414"/>
      <x:c r="T26" s="414"/>
      <x:c r="U26" s="414"/>
      <x:c r="V26" s="414"/>
      <x:c r="W26" s="414"/>
      <x:c r="X26" s="414"/>
      <x:c r="Y26" s="414"/>
      <x:c r="Z26" s="414"/>
      <x:c r="AA26" s="414"/>
      <x:c r="AB26" s="414"/>
      <x:c r="AC26" s="414"/>
      <x:c r="AD26" s="414"/>
      <x:c r="AE26" s="414"/>
      <x:c r="AF26" s="414"/>
      <x:c r="AI26" s="414"/>
      <x:c r="AJ26" s="414"/>
      <x:c r="AK26" s="414"/>
      <x:c r="AL26" s="414"/>
      <x:c r="AM26" s="414"/>
    </x:row>
    <x:row r="27" spans="1:39">
      <x:c r="A27" s="416" t="s">
        <x:v>559</x:v>
      </x:c>
      <x:c r="B27" s="406"/>
      <x:c r="C27" s="338" t="s">
        <x:v>340</x:v>
      </x:c>
      <x:c r="D27" s="338" t="s">
        <x:v>554</x:v>
      </x:c>
      <x:c r="E27" s="338" t="s">
        <x:v>560</x:v>
      </x:c>
      <x:c r="F27" s="406" t="s">
        <x:v>418</x:v>
      </x:c>
      <x:c r="G27" s="406"/>
      <x:c r="H27" s="406"/>
      <x:c r="I27" s="414"/>
      <x:c r="J27" s="414"/>
      <x:c r="K27" s="414"/>
      <x:c r="L27" s="414"/>
      <x:c r="M27" s="416" t="s">
        <x:v>561</x:v>
      </x:c>
      <x:c r="N27" s="338"/>
      <x:c r="O27" s="338"/>
      <x:c r="P27" s="338"/>
      <x:c r="Q27" s="340" t="s">
        <x:v>544</x:v>
      </x:c>
      <x:c r="R27" s="406" t="s">
        <x:v>536</x:v>
      </x:c>
      <x:c r="S27" s="414"/>
      <x:c r="T27" s="414"/>
      <x:c r="U27" s="414"/>
      <x:c r="V27" s="414"/>
      <x:c r="W27" s="414"/>
      <x:c r="X27" s="414"/>
      <x:c r="Y27" s="414"/>
      <x:c r="Z27" s="414"/>
      <x:c r="AA27" s="414"/>
      <x:c r="AB27" s="414"/>
      <x:c r="AC27" s="414"/>
      <x:c r="AD27" s="414"/>
      <x:c r="AE27" s="414"/>
      <x:c r="AF27" s="414"/>
      <x:c r="AI27" s="414"/>
      <x:c r="AJ27" s="414"/>
      <x:c r="AK27" s="414"/>
      <x:c r="AL27" s="414"/>
      <x:c r="AM27" s="414"/>
    </x:row>
    <x:row r="28" spans="1:39">
      <x:c r="A28" s="416" t="s">
        <x:v>562</x:v>
      </x:c>
      <x:c r="B28" s="406"/>
      <x:c r="C28" s="338"/>
      <x:c r="D28" s="338"/>
      <x:c r="E28" s="338" t="s">
        <x:v>563</x:v>
      </x:c>
      <x:c r="F28" s="406" t="s">
        <x:v>418</x:v>
      </x:c>
      <x:c r="G28" s="406"/>
      <x:c r="H28" s="406"/>
      <x:c r="I28" s="414"/>
      <x:c r="J28" s="414"/>
      <x:c r="K28" s="414"/>
      <x:c r="L28" s="414"/>
      <x:c r="M28" s="416" t="s">
        <x:v>564</x:v>
      </x:c>
      <x:c r="N28" s="338"/>
      <x:c r="O28" s="338"/>
      <x:c r="P28" s="338"/>
      <x:c r="Q28" s="340" t="s">
        <x:v>544</x:v>
      </x:c>
      <x:c r="R28" s="406" t="s">
        <x:v>536</x:v>
      </x:c>
      <x:c r="S28" s="414"/>
      <x:c r="T28" s="414"/>
      <x:c r="U28" s="414"/>
      <x:c r="V28" s="414"/>
      <x:c r="W28" s="414"/>
      <x:c r="X28" s="414"/>
      <x:c r="Y28" s="414"/>
      <x:c r="Z28" s="414"/>
      <x:c r="AA28" s="414"/>
      <x:c r="AB28" s="414"/>
      <x:c r="AC28" s="414"/>
      <x:c r="AD28" s="414"/>
      <x:c r="AE28" s="414"/>
      <x:c r="AF28" s="414"/>
      <x:c r="AI28" s="414"/>
      <x:c r="AJ28" s="414"/>
      <x:c r="AK28" s="414"/>
      <x:c r="AL28" s="414"/>
      <x:c r="AM28" s="414"/>
    </x:row>
    <x:row r="29" spans="1:39">
      <x:c r="A29" s="416" t="s">
        <x:v>565</x:v>
      </x:c>
      <x:c r="B29" s="406"/>
      <x:c r="C29" s="338"/>
      <x:c r="D29" s="338"/>
      <x:c r="E29" s="338" t="s">
        <x:v>566</x:v>
      </x:c>
      <x:c r="F29" s="406" t="s">
        <x:v>418</x:v>
      </x:c>
      <x:c r="G29" s="406"/>
      <x:c r="H29" s="406"/>
      <x:c r="I29" s="414"/>
      <x:c r="J29" s="414"/>
      <x:c r="K29" s="414"/>
      <x:c r="L29" s="414"/>
      <x:c r="M29" s="416" t="s">
        <x:v>567</x:v>
      </x:c>
      <x:c r="N29" s="338"/>
      <x:c r="O29" s="338"/>
      <x:c r="P29" s="338"/>
      <x:c r="Q29" s="340" t="s">
        <x:v>544</x:v>
      </x:c>
      <x:c r="R29" s="406" t="s">
        <x:v>536</x:v>
      </x:c>
      <x:c r="S29" s="414"/>
      <x:c r="T29" s="414"/>
      <x:c r="U29" s="414"/>
      <x:c r="V29" s="414"/>
      <x:c r="W29" s="414"/>
      <x:c r="X29" s="414"/>
      <x:c r="Y29" s="414"/>
      <x:c r="Z29" s="414"/>
      <x:c r="AA29" s="414"/>
      <x:c r="AB29" s="414"/>
      <x:c r="AC29" s="414"/>
      <x:c r="AD29" s="414"/>
      <x:c r="AE29" s="414"/>
      <x:c r="AF29" s="414"/>
      <x:c r="AI29" s="414"/>
      <x:c r="AJ29" s="414"/>
      <x:c r="AK29" s="414"/>
      <x:c r="AL29" s="414"/>
      <x:c r="AM29" s="414"/>
    </x:row>
    <x:row r="30" spans="1:39">
      <x:c r="A30" s="416" t="s">
        <x:v>568</x:v>
      </x:c>
      <x:c r="B30" s="406"/>
      <x:c r="C30" s="338"/>
      <x:c r="D30" s="338"/>
      <x:c r="E30" s="338" t="s">
        <x:v>569</x:v>
      </x:c>
      <x:c r="F30" s="406" t="s">
        <x:v>418</x:v>
      </x:c>
      <x:c r="G30" s="406"/>
      <x:c r="H30" s="406"/>
      <x:c r="I30" s="414"/>
      <x:c r="J30" s="414"/>
      <x:c r="K30" s="414"/>
      <x:c r="L30" s="414"/>
      <x:c r="M30" s="416" t="s">
        <x:v>570</x:v>
      </x:c>
      <x:c r="N30" s="338"/>
      <x:c r="O30" s="338"/>
      <x:c r="P30" s="338"/>
      <x:c r="Q30" s="340" t="s">
        <x:v>544</x:v>
      </x:c>
      <x:c r="R30" s="406" t="s">
        <x:v>536</x:v>
      </x:c>
      <x:c r="S30" s="414"/>
      <x:c r="T30" s="414"/>
      <x:c r="U30" s="414"/>
      <x:c r="V30" s="414"/>
      <x:c r="W30" s="414"/>
      <x:c r="X30" s="414"/>
      <x:c r="Y30" s="414"/>
      <x:c r="Z30" s="414"/>
      <x:c r="AA30" s="414"/>
      <x:c r="AB30" s="414"/>
      <x:c r="AC30" s="414"/>
      <x:c r="AD30" s="414"/>
      <x:c r="AE30" s="414"/>
      <x:c r="AF30" s="414"/>
      <x:c r="AG30" s="414"/>
      <x:c r="AH30" s="414"/>
      <x:c r="AI30" s="414"/>
      <x:c r="AJ30" s="414"/>
      <x:c r="AK30" s="414"/>
      <x:c r="AL30" s="414"/>
      <x:c r="AM30" s="414"/>
    </x:row>
    <x:row r="31" spans="1:39">
      <x:c r="A31" s="416" t="s">
        <x:v>571</x:v>
      </x:c>
      <x:c r="B31" s="406"/>
      <x:c r="C31" s="338"/>
      <x:c r="D31" s="338"/>
      <x:c r="E31" s="338" t="s">
        <x:v>572</x:v>
      </x:c>
      <x:c r="F31" s="406" t="s">
        <x:v>418</x:v>
      </x:c>
      <x:c r="G31" s="406"/>
      <x:c r="H31" s="406"/>
      <x:c r="I31" s="414"/>
      <x:c r="J31" s="414"/>
      <x:c r="K31" s="414"/>
      <x:c r="L31" s="414"/>
      <x:c r="M31" s="416" t="s">
        <x:v>573</x:v>
      </x:c>
      <x:c r="N31" s="338" t="s">
        <x:v>420</x:v>
      </x:c>
      <x:c r="O31" s="338" t="s">
        <x:v>574</x:v>
      </x:c>
      <x:c r="P31" s="338" t="s">
        <x:v>298</x:v>
      </x:c>
      <x:c r="Q31" s="340" t="s">
        <x:v>544</x:v>
      </x:c>
      <x:c r="R31" s="406" t="s">
        <x:v>536</x:v>
      </x:c>
      <x:c r="S31" s="414"/>
      <x:c r="T31" s="414"/>
      <x:c r="U31" s="414"/>
      <x:c r="V31" s="414"/>
      <x:c r="W31" s="414"/>
      <x:c r="X31" s="414"/>
      <x:c r="Y31" s="414"/>
      <x:c r="Z31" s="414"/>
      <x:c r="AA31" s="414"/>
      <x:c r="AB31" s="414"/>
      <x:c r="AC31" s="414"/>
      <x:c r="AD31" s="414"/>
      <x:c r="AE31" s="414"/>
      <x:c r="AF31" s="414"/>
      <x:c r="AG31" s="414"/>
      <x:c r="AH31" s="414"/>
      <x:c r="AI31" s="414"/>
      <x:c r="AJ31" s="414"/>
      <x:c r="AK31" s="414"/>
      <x:c r="AL31" s="414"/>
      <x:c r="AM31" s="414"/>
    </x:row>
    <x:row r="32" spans="1:39">
      <x:c r="A32" s="416" t="s">
        <x:v>575</x:v>
      </x:c>
      <x:c r="B32" s="406"/>
      <x:c r="C32" s="338" t="s">
        <x:v>415</x:v>
      </x:c>
      <x:c r="D32" s="338" t="s">
        <x:v>298</x:v>
      </x:c>
      <x:c r="E32" s="338" t="s">
        <x:v>576</x:v>
      </x:c>
      <x:c r="F32" s="406" t="s">
        <x:v>418</x:v>
      </x:c>
      <x:c r="G32" s="406"/>
      <x:c r="H32" s="406"/>
      <x:c r="I32" s="414"/>
      <x:c r="J32" s="414"/>
      <x:c r="K32" s="414"/>
      <x:c r="L32" s="414"/>
      <x:c r="M32" s="416" t="s">
        <x:v>577</x:v>
      </x:c>
      <x:c r="N32" s="338"/>
      <x:c r="O32" s="338"/>
      <x:c r="P32" s="338"/>
      <x:c r="Q32" s="340" t="s">
        <x:v>544</x:v>
      </x:c>
      <x:c r="R32" s="406" t="s">
        <x:v>536</x:v>
      </x:c>
      <x:c r="S32" s="414"/>
      <x:c r="T32" s="414"/>
      <x:c r="U32" s="414"/>
      <x:c r="V32" s="414"/>
      <x:c r="W32" s="414"/>
      <x:c r="X32" s="414"/>
      <x:c r="Y32" s="414"/>
      <x:c r="Z32" s="414"/>
      <x:c r="AA32" s="414"/>
      <x:c r="AB32" s="414"/>
      <x:c r="AC32" s="414"/>
      <x:c r="AD32" s="414"/>
      <x:c r="AE32" s="414"/>
      <x:c r="AF32" s="414"/>
      <x:c r="AG32" s="414"/>
      <x:c r="AH32" s="414"/>
      <x:c r="AI32" s="414"/>
      <x:c r="AJ32" s="414"/>
      <x:c r="AK32" s="414"/>
      <x:c r="AL32" s="414"/>
      <x:c r="AM32" s="414"/>
    </x:row>
    <x:row r="33" spans="1:39">
      <x:c r="A33" s="416" t="s">
        <x:v>578</x:v>
      </x:c>
      <x:c r="B33" s="406" t="s">
        <x:v>317</x:v>
      </x:c>
      <x:c r="C33" s="338" t="s">
        <x:v>415</x:v>
      </x:c>
      <x:c r="D33" s="338" t="s">
        <x:v>298</x:v>
      </x:c>
      <x:c r="E33" s="338" t="s">
        <x:v>579</x:v>
      </x:c>
      <x:c r="F33" s="406" t="s">
        <x:v>418</x:v>
      </x:c>
      <x:c r="G33" s="406" t="s">
        <x:v>317</x:v>
      </x:c>
      <x:c r="H33" s="406" t="s">
        <x:v>400</x:v>
      </x:c>
      <x:c r="I33" s="414"/>
      <x:c r="J33" s="414"/>
      <x:c r="K33" s="414"/>
      <x:c r="L33" s="414"/>
      <x:c r="M33" s="416" t="s">
        <x:v>580</x:v>
      </x:c>
      <x:c r="N33" s="338"/>
      <x:c r="O33" s="338"/>
      <x:c r="P33" s="338"/>
      <x:c r="Q33" s="338" t="s">
        <x:v>581</x:v>
      </x:c>
      <x:c r="R33" s="406" t="s">
        <x:v>536</x:v>
      </x:c>
      <x:c r="S33" s="414"/>
      <x:c r="T33" s="414"/>
      <x:c r="U33" s="414"/>
      <x:c r="V33" s="414"/>
      <x:c r="W33" s="414"/>
      <x:c r="X33" s="414"/>
      <x:c r="Y33" s="414"/>
      <x:c r="Z33" s="414"/>
      <x:c r="AA33" s="414"/>
      <x:c r="AB33" s="414"/>
      <x:c r="AC33" s="414"/>
      <x:c r="AD33" s="414"/>
      <x:c r="AE33" s="414"/>
      <x:c r="AF33" s="414"/>
      <x:c r="AG33" s="414"/>
      <x:c r="AH33" s="414"/>
      <x:c r="AI33" s="414"/>
      <x:c r="AJ33" s="414"/>
      <x:c r="AK33" s="414"/>
      <x:c r="AL33" s="414"/>
      <x:c r="AM33" s="414"/>
    </x:row>
    <x:row r="34" spans="1:39">
      <x:c r="A34" s="416" t="s">
        <x:v>582</x:v>
      </x:c>
      <x:c r="B34" s="406" t="s">
        <x:v>317</x:v>
      </x:c>
      <x:c r="C34" s="338" t="s">
        <x:v>504</x:v>
      </x:c>
      <x:c r="D34" s="338" t="s">
        <x:v>298</x:v>
      </x:c>
      <x:c r="E34" s="338" t="s">
        <x:v>583</x:v>
      </x:c>
      <x:c r="F34" s="406" t="s">
        <x:v>418</x:v>
      </x:c>
      <x:c r="G34" s="406" t="s">
        <x:v>317</x:v>
      </x:c>
      <x:c r="H34" s="406" t="s">
        <x:v>400</x:v>
      </x:c>
      <x:c r="I34" s="414"/>
      <x:c r="J34" s="414"/>
      <x:c r="K34" s="414"/>
      <x:c r="L34" s="414"/>
      <x:c r="M34" s="416" t="s">
        <x:v>584</x:v>
      </x:c>
      <x:c r="N34" s="340" t="s">
        <x:v>585</x:v>
      </x:c>
      <x:c r="O34" s="340" t="s">
        <x:v>586</x:v>
      </x:c>
      <x:c r="P34" s="340" t="s">
        <x:v>587</x:v>
      </x:c>
      <x:c r="Q34" s="340" t="s">
        <x:v>588</x:v>
      </x:c>
      <x:c r="R34" s="406" t="s">
        <x:v>589</x:v>
      </x:c>
      <x:c r="S34" s="414"/>
      <x:c r="T34" s="414"/>
      <x:c r="U34" s="414"/>
      <x:c r="V34" s="414"/>
      <x:c r="W34" s="414"/>
      <x:c r="X34" s="414"/>
      <x:c r="Y34" s="414"/>
      <x:c r="Z34" s="414"/>
      <x:c r="AA34" s="414"/>
      <x:c r="AB34" s="414"/>
      <x:c r="AC34" s="414"/>
      <x:c r="AD34" s="414"/>
      <x:c r="AE34" s="414"/>
      <x:c r="AF34" s="414"/>
      <x:c r="AG34" s="414"/>
      <x:c r="AH34" s="414"/>
      <x:c r="AI34" s="414"/>
      <x:c r="AJ34" s="414"/>
      <x:c r="AK34" s="414"/>
      <x:c r="AL34" s="414"/>
      <x:c r="AM34" s="414"/>
    </x:row>
    <x:row r="35" spans="1:39">
      <x:c r="A35" s="416" t="s">
        <x:v>590</x:v>
      </x:c>
      <x:c r="B35" s="406" t="s">
        <x:v>317</x:v>
      </x:c>
      <x:c r="C35" s="340" t="s">
        <x:v>591</x:v>
      </x:c>
      <x:c r="D35" s="340" t="s">
        <x:v>298</x:v>
      </x:c>
      <x:c r="E35" s="340" t="s">
        <x:v>583</x:v>
      </x:c>
      <x:c r="F35" s="406" t="s">
        <x:v>418</x:v>
      </x:c>
      <x:c r="G35" s="406" t="s">
        <x:v>592</x:v>
      </x:c>
      <x:c r="H35" s="406" t="s">
        <x:v>593</x:v>
      </x:c>
      <x:c r="I35" s="414"/>
      <x:c r="J35" s="414"/>
      <x:c r="K35" s="414"/>
      <x:c r="L35" s="414"/>
      <x:c r="M35" s="416" t="s">
        <x:v>594</x:v>
      </x:c>
      <x:c r="N35" s="340" t="s">
        <x:v>480</x:v>
      </x:c>
      <x:c r="O35" s="340" t="s">
        <x:v>595</x:v>
      </x:c>
      <x:c r="P35" s="340" t="s">
        <x:v>596</x:v>
      </x:c>
      <x:c r="Q35" s="340" t="s">
        <x:v>597</x:v>
      </x:c>
      <x:c r="R35" s="406" t="s">
        <x:v>598</x:v>
      </x:c>
      <x:c r="S35" s="414"/>
      <x:c r="T35" s="414"/>
      <x:c r="U35" s="414"/>
      <x:c r="V35" s="414"/>
      <x:c r="W35" s="414"/>
      <x:c r="X35" s="414"/>
      <x:c r="Y35" s="414"/>
      <x:c r="Z35" s="414"/>
      <x:c r="AA35" s="414"/>
      <x:c r="AB35" s="414"/>
      <x:c r="AC35" s="414"/>
      <x:c r="AD35" s="414"/>
      <x:c r="AE35" s="414"/>
      <x:c r="AF35" s="414"/>
      <x:c r="AG35" s="414"/>
      <x:c r="AH35" s="414"/>
      <x:c r="AI35" s="414"/>
      <x:c r="AJ35" s="414"/>
      <x:c r="AK35" s="414"/>
      <x:c r="AL35" s="414"/>
      <x:c r="AM35" s="414"/>
    </x:row>
    <x:row r="36" spans="1:39">
      <x:c r="A36" s="416" t="s">
        <x:v>599</x:v>
      </x:c>
      <x:c r="B36" s="406"/>
      <x:c r="C36" s="340" t="s">
        <x:v>415</x:v>
      </x:c>
      <x:c r="D36" s="340" t="s">
        <x:v>298</x:v>
      </x:c>
      <x:c r="E36" s="340" t="s">
        <x:v>583</x:v>
      </x:c>
      <x:c r="F36" s="406" t="s">
        <x:v>418</x:v>
      </x:c>
      <x:c r="G36" s="406"/>
      <x:c r="H36" s="406"/>
      <x:c r="I36" s="414"/>
      <x:c r="J36" s="414"/>
      <x:c r="K36" s="414"/>
      <x:c r="L36" s="414"/>
      <x:c r="M36" s="414"/>
      <x:c r="N36" s="414"/>
      <x:c r="O36" s="414"/>
      <x:c r="P36" s="414"/>
      <x:c r="Q36" s="414"/>
      <x:c r="R36" s="414"/>
      <x:c r="S36" s="414"/>
      <x:c r="T36" s="414"/>
      <x:c r="U36" s="414"/>
      <x:c r="V36" s="414"/>
      <x:c r="W36" s="414"/>
      <x:c r="X36" s="414"/>
      <x:c r="Y36" s="414"/>
      <x:c r="Z36" s="414"/>
      <x:c r="AA36" s="414"/>
      <x:c r="AB36" s="414"/>
      <x:c r="AC36" s="414"/>
      <x:c r="AD36" s="414"/>
      <x:c r="AE36" s="414"/>
      <x:c r="AF36" s="414"/>
      <x:c r="AG36" s="414"/>
      <x:c r="AH36" s="414"/>
      <x:c r="AI36" s="414"/>
      <x:c r="AJ36" s="414"/>
      <x:c r="AK36" s="414"/>
      <x:c r="AL36" s="414"/>
      <x:c r="AM36" s="414"/>
    </x:row>
    <x:row r="37" spans="1:39">
      <x:c r="A37" s="416" t="s">
        <x:v>600</x:v>
      </x:c>
      <x:c r="B37" s="406" t="s">
        <x:v>317</x:v>
      </x:c>
      <x:c r="C37" s="340" t="s">
        <x:v>415</x:v>
      </x:c>
      <x:c r="D37" s="340" t="s">
        <x:v>298</x:v>
      </x:c>
      <x:c r="E37" s="340" t="s">
        <x:v>583</x:v>
      </x:c>
      <x:c r="F37" s="406" t="s">
        <x:v>418</x:v>
      </x:c>
      <x:c r="G37" s="406" t="s">
        <x:v>317</x:v>
      </x:c>
      <x:c r="H37" s="406" t="s">
        <x:v>400</x:v>
      </x:c>
      <x:c r="I37" s="414"/>
      <x:c r="J37" s="414"/>
      <x:c r="K37" s="414"/>
      <x:c r="L37" s="414"/>
      <x:c r="M37" s="414"/>
      <x:c r="N37" s="414"/>
      <x:c r="O37" s="414"/>
      <x:c r="P37" s="414"/>
      <x:c r="Q37" s="414"/>
      <x:c r="R37" s="414"/>
      <x:c r="S37" s="414"/>
      <x:c r="T37" s="414"/>
      <x:c r="U37" s="414"/>
      <x:c r="V37" s="414"/>
      <x:c r="W37" s="414"/>
      <x:c r="X37" s="414"/>
      <x:c r="Y37" s="414"/>
      <x:c r="Z37" s="414"/>
      <x:c r="AA37" s="414"/>
      <x:c r="AB37" s="414"/>
      <x:c r="AC37" s="414"/>
      <x:c r="AD37" s="414"/>
      <x:c r="AE37" s="414"/>
      <x:c r="AF37" s="414"/>
      <x:c r="AG37" s="414"/>
      <x:c r="AH37" s="414"/>
      <x:c r="AI37" s="414"/>
      <x:c r="AJ37" s="414"/>
      <x:c r="AK37" s="414"/>
      <x:c r="AL37" s="414"/>
      <x:c r="AM37" s="414"/>
    </x:row>
    <x:row r="38" spans="1:39">
      <x:c r="A38" s="416" t="s">
        <x:v>601</x:v>
      </x:c>
      <x:c r="B38" s="406"/>
      <x:c r="C38" s="340" t="s">
        <x:v>602</x:v>
      </x:c>
      <x:c r="D38" s="340" t="s">
        <x:v>603</x:v>
      </x:c>
      <x:c r="E38" s="340" t="s">
        <x:v>604</x:v>
      </x:c>
      <x:c r="F38" s="406" t="s">
        <x:v>418</x:v>
      </x:c>
      <x:c r="G38" s="406"/>
      <x:c r="H38" s="406"/>
      <x:c r="I38" s="414"/>
      <x:c r="J38" s="414"/>
      <x:c r="K38" s="414"/>
      <x:c r="L38" s="414"/>
      <x:c r="M38" s="414"/>
      <x:c r="N38" s="414"/>
      <x:c r="O38" s="414"/>
      <x:c r="P38" s="414"/>
      <x:c r="Q38" s="414"/>
      <x:c r="R38" s="414"/>
      <x:c r="S38" s="414"/>
      <x:c r="T38" s="414"/>
      <x:c r="U38" s="414"/>
      <x:c r="V38" s="414"/>
      <x:c r="W38" s="414"/>
      <x:c r="X38" s="414"/>
      <x:c r="Y38" s="414"/>
      <x:c r="Z38" s="414"/>
      <x:c r="AA38" s="414"/>
      <x:c r="AB38" s="414"/>
      <x:c r="AC38" s="414"/>
      <x:c r="AD38" s="414"/>
      <x:c r="AE38" s="414"/>
      <x:c r="AF38" s="414"/>
    </x:row>
    <x:row r="39" spans="1:39">
      <x:c r="A39" s="416" t="s">
        <x:v>605</x:v>
      </x:c>
      <x:c r="B39" s="406"/>
      <x:c r="C39" s="340" t="s">
        <x:v>504</x:v>
      </x:c>
      <x:c r="D39" s="340" t="s">
        <x:v>394</x:v>
      </x:c>
      <x:c r="E39" s="340" t="s">
        <x:v>606</x:v>
      </x:c>
      <x:c r="F39" s="406" t="s">
        <x:v>418</x:v>
      </x:c>
      <x:c r="G39" s="406"/>
      <x:c r="H39" s="406"/>
      <x:c r="I39" s="414"/>
      <x:c r="J39" s="414"/>
      <x:c r="K39" s="414"/>
      <x:c r="L39" s="414"/>
      <x:c r="M39" s="414"/>
      <x:c r="N39" s="414"/>
      <x:c r="O39" s="414"/>
      <x:c r="P39" s="414"/>
      <x:c r="Q39" s="414"/>
      <x:c r="R39" s="414"/>
      <x:c r="S39" s="414"/>
      <x:c r="T39" s="414"/>
      <x:c r="U39" s="414"/>
      <x:c r="V39" s="414"/>
      <x:c r="W39" s="414"/>
      <x:c r="X39" s="414"/>
      <x:c r="Y39" s="414"/>
      <x:c r="Z39" s="414"/>
      <x:c r="AA39" s="414"/>
      <x:c r="AB39" s="414"/>
      <x:c r="AC39" s="414"/>
      <x:c r="AD39" s="414"/>
      <x:c r="AE39" s="414"/>
      <x:c r="AF39" s="414"/>
    </x:row>
    <x:row r="40" spans="1:39">
      <x:c r="A40" s="416" t="s">
        <x:v>607</x:v>
      </x:c>
      <x:c r="B40" s="406" t="s">
        <x:v>608</x:v>
      </x:c>
      <x:c r="C40" s="340" t="s">
        <x:v>504</x:v>
      </x:c>
      <x:c r="D40" s="340" t="s">
        <x:v>394</x:v>
      </x:c>
      <x:c r="E40" s="340" t="s">
        <x:v>606</x:v>
      </x:c>
      <x:c r="F40" s="406" t="s">
        <x:v>418</x:v>
      </x:c>
      <x:c r="G40" s="406" t="s">
        <x:v>609</x:v>
      </x:c>
      <x:c r="H40" s="406" t="s">
        <x:v>610</x:v>
      </x:c>
      <x:c r="I40" s="414"/>
      <x:c r="J40" s="414"/>
      <x:c r="K40" s="414"/>
      <x:c r="L40" s="414"/>
      <x:c r="M40" s="414"/>
      <x:c r="N40" s="414"/>
      <x:c r="O40" s="414"/>
      <x:c r="P40" s="414"/>
      <x:c r="Q40" s="414"/>
      <x:c r="R40" s="414"/>
      <x:c r="S40" s="414"/>
      <x:c r="T40" s="414"/>
      <x:c r="U40" s="414"/>
      <x:c r="V40" s="414"/>
      <x:c r="W40" s="414"/>
      <x:c r="X40" s="414"/>
      <x:c r="Y40" s="414"/>
      <x:c r="Z40" s="414"/>
      <x:c r="AA40" s="414"/>
      <x:c r="AB40" s="414"/>
      <x:c r="AC40" s="414"/>
      <x:c r="AD40" s="414"/>
      <x:c r="AE40" s="414"/>
      <x:c r="AF40" s="414"/>
    </x:row>
    <x:row r="41" spans="1:39">
      <x:c r="A41" s="416" t="s">
        <x:v>611</x:v>
      </x:c>
      <x:c r="B41" s="406" t="s">
        <x:v>317</x:v>
      </x:c>
      <x:c r="C41" s="340" t="s">
        <x:v>415</x:v>
      </x:c>
      <x:c r="D41" s="340" t="s">
        <x:v>394</x:v>
      </x:c>
      <x:c r="E41" s="340" t="s">
        <x:v>606</x:v>
      </x:c>
      <x:c r="F41" s="406" t="s">
        <x:v>418</x:v>
      </x:c>
      <x:c r="G41" s="406" t="s">
        <x:v>317</x:v>
      </x:c>
      <x:c r="H41" s="406" t="s">
        <x:v>400</x:v>
      </x:c>
      <x:c r="I41" s="414"/>
      <x:c r="J41" s="414"/>
      <x:c r="K41" s="414"/>
      <x:c r="L41" s="414"/>
      <x:c r="M41" s="414"/>
      <x:c r="N41" s="414"/>
      <x:c r="O41" s="414"/>
      <x:c r="P41" s="414"/>
      <x:c r="Q41" s="414"/>
      <x:c r="R41" s="414"/>
      <x:c r="S41" s="414"/>
      <x:c r="T41" s="414"/>
      <x:c r="U41" s="414"/>
      <x:c r="V41" s="414"/>
      <x:c r="W41" s="414"/>
      <x:c r="X41" s="414"/>
      <x:c r="Y41" s="414"/>
      <x:c r="Z41" s="414"/>
      <x:c r="AA41" s="414"/>
      <x:c r="AB41" s="414"/>
      <x:c r="AC41" s="414"/>
      <x:c r="AD41" s="414"/>
      <x:c r="AE41" s="414"/>
      <x:c r="AF41" s="414"/>
    </x:row>
    <x:row r="42" spans="1:39">
      <x:c r="A42" s="416" t="s">
        <x:v>612</x:v>
      </x:c>
      <x:c r="B42" s="406"/>
      <x:c r="C42" s="340" t="s">
        <x:v>504</x:v>
      </x:c>
      <x:c r="D42" s="340" t="s">
        <x:v>394</x:v>
      </x:c>
      <x:c r="E42" s="340" t="s">
        <x:v>613</x:v>
      </x:c>
      <x:c r="F42" s="406" t="s">
        <x:v>418</x:v>
      </x:c>
      <x:c r="G42" s="406"/>
      <x:c r="H42" s="406"/>
      <x:c r="I42" s="414"/>
      <x:c r="J42" s="414"/>
      <x:c r="K42" s="414"/>
      <x:c r="L42" s="414"/>
      <x:c r="M42" s="414"/>
      <x:c r="N42" s="414"/>
      <x:c r="O42" s="414"/>
      <x:c r="P42" s="414"/>
      <x:c r="Q42" s="414"/>
      <x:c r="R42" s="414"/>
      <x:c r="S42" s="414"/>
      <x:c r="T42" s="414"/>
      <x:c r="U42" s="414"/>
      <x:c r="V42" s="414"/>
      <x:c r="W42" s="414"/>
      <x:c r="X42" s="414"/>
      <x:c r="Y42" s="414"/>
      <x:c r="Z42" s="414"/>
      <x:c r="AA42" s="414"/>
      <x:c r="AB42" s="414"/>
      <x:c r="AC42" s="414"/>
      <x:c r="AD42" s="414"/>
      <x:c r="AE42" s="414"/>
      <x:c r="AF42" s="414"/>
    </x:row>
    <x:row r="43" spans="1:39">
      <x:c r="A43" s="414"/>
      <x:c r="B43" s="414"/>
      <x:c r="C43" s="414"/>
      <x:c r="D43" s="414"/>
      <x:c r="E43" s="414"/>
      <x:c r="F43" s="414"/>
      <x:c r="G43" s="414"/>
      <x:c r="H43" s="414"/>
      <x:c r="I43" s="414"/>
      <x:c r="J43" s="414"/>
      <x:c r="K43" s="414"/>
      <x:c r="L43" s="414"/>
      <x:c r="M43" s="414"/>
      <x:c r="N43" s="414"/>
      <x:c r="O43" s="414"/>
      <x:c r="P43" s="414"/>
      <x:c r="Q43" s="414"/>
      <x:c r="R43" s="414"/>
      <x:c r="S43" s="414"/>
      <x:c r="T43" s="414"/>
      <x:c r="U43" s="414"/>
      <x:c r="V43" s="414"/>
      <x:c r="W43" s="414"/>
      <x:c r="X43" s="414"/>
      <x:c r="Y43" s="414"/>
      <x:c r="Z43" s="414"/>
      <x:c r="AA43" s="414"/>
      <x:c r="AB43" s="414"/>
      <x:c r="AC43" s="414"/>
      <x:c r="AD43" s="414"/>
      <x:c r="AE43" s="414"/>
      <x:c r="AF43" s="414"/>
    </x:row>
    <x:row r="44" spans="1:39">
      <x:c r="A44" s="414"/>
      <x:c r="B44" s="414"/>
      <x:c r="C44" s="414"/>
      <x:c r="D44" s="414"/>
      <x:c r="E44" s="414"/>
      <x:c r="F44" s="414"/>
      <x:c r="G44" s="414"/>
      <x:c r="H44" s="414"/>
      <x:c r="I44" s="414"/>
      <x:c r="J44" s="414"/>
      <x:c r="K44" s="414"/>
      <x:c r="L44" s="414"/>
      <x:c r="M44" s="414"/>
      <x:c r="N44" s="414"/>
      <x:c r="O44" s="414"/>
      <x:c r="P44" s="414"/>
      <x:c r="Q44" s="414"/>
      <x:c r="R44" s="414"/>
      <x:c r="S44" s="414"/>
      <x:c r="T44" s="414"/>
      <x:c r="U44" s="414"/>
      <x:c r="V44" s="414"/>
      <x:c r="W44" s="414"/>
      <x:c r="X44" s="414"/>
      <x:c r="Y44" s="414"/>
      <x:c r="Z44" s="414"/>
      <x:c r="AA44" s="414"/>
      <x:c r="AB44" s="414"/>
      <x:c r="AC44" s="414"/>
      <x:c r="AD44" s="414"/>
      <x:c r="AE44" s="414"/>
      <x:c r="AF44" s="414"/>
    </x:row>
  </x:sheetData>
  <x:mergeCells count="15">
    <x:mergeCell ref="A1:H1"/>
    <x:mergeCell ref="I1:L1"/>
    <x:mergeCell ref="M1:R1"/>
    <x:mergeCell ref="S1:X1"/>
    <x:mergeCell ref="Y1:AA1"/>
    <x:mergeCell ref="AB1:AD1"/>
    <x:mergeCell ref="AE1:AF1"/>
    <x:mergeCell ref="AG1:AH1"/>
    <x:mergeCell ref="B2:F2"/>
    <x:mergeCell ref="G2:H2"/>
    <x:mergeCell ref="J2:L2"/>
    <x:mergeCell ref="N2:R2"/>
    <x:mergeCell ref="T2:X2"/>
    <x:mergeCell ref="Z2:AA2"/>
    <x:mergeCell ref="AC2:AD2"/>
  </x:mergeCells>
  <x:phoneticPr fontId="4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topLeftCell="BG1" workbookViewId="0">
      <x:selection activeCell="CN21" sqref="CN21"/>
    </x:sheetView>
  </x:sheetViews>
  <x:sheetFormatPr defaultColWidth="8.886719" defaultRowHeight="16.5"/>
  <x:cols>
    <x:col min="99" max="16384" width="8.886719" style="390" customWidth="1"/>
    <x:col min="1" max="6" width="1.21875" style="421" customWidth="1"/>
    <x:col min="7" max="7" width="0.332031" style="421" customWidth="1"/>
    <x:col min="8" max="15" width="1.109375" style="421" customWidth="1"/>
    <x:col min="16" max="16" width="2" style="421" customWidth="1"/>
    <x:col min="17" max="17" width="0.332031" style="421" customWidth="1"/>
    <x:col min="18" max="18" width="1.777344" style="421" customWidth="1"/>
    <x:col min="19" max="19" width="2.886719" style="421" customWidth="1"/>
    <x:col min="20" max="20" width="1.664062" style="421" customWidth="1"/>
    <x:col min="21" max="45" width="1.109375" style="421" customWidth="1"/>
    <x:col min="46" max="51" width="1.21875" style="421" customWidth="1"/>
    <x:col min="52" max="52" width="0.332031" style="421" customWidth="1"/>
    <x:col min="53" max="58" width="1.109375" style="421" customWidth="1"/>
    <x:col min="59" max="59" width="2.109375" style="421" customWidth="1"/>
    <x:col min="60" max="60" width="0.332031" style="421" customWidth="1"/>
    <x:col min="61" max="61" width="1.109375" style="421" customWidth="1"/>
    <x:col min="62" max="62" width="0.332031" style="421" customWidth="1"/>
    <x:col min="63" max="67" width="1.109375" style="421" customWidth="1"/>
    <x:col min="68" max="68" width="2" style="421" customWidth="1"/>
    <x:col min="69" max="88" width="1.109375" style="421" customWidth="1"/>
    <x:col min="89" max="89" width="8.886719" style="390" customWidth="1"/>
    <x:col min="90" max="90" width="2.332031" style="422" customWidth="1"/>
    <x:col min="91" max="91" width="19.554688" style="422" customWidth="1"/>
    <x:col min="92" max="92" width="13.886719" style="422" customWidth="1"/>
    <x:col min="93" max="93" width="15.21875" style="422" customWidth="1"/>
    <x:col min="94" max="94" width="2.777344" style="422" customWidth="1"/>
    <x:col min="95" max="95" width="2.886719" style="423" customWidth="1"/>
    <x:col min="96" max="96" width="22.109375" style="422" customWidth="1"/>
    <x:col min="97" max="97" width="18.777344" style="422" customWidth="1"/>
    <x:col min="98" max="98" width="2.777344" style="422" customWidth="1"/>
  </x:cols>
  <x:sheetData>
    <x:row r="1" spans="1:98" ht="26.25" customHeight="1">
      <x:c r="A1" s="424"/>
      <x:c r="B1" s="425"/>
      <x:c r="C1" s="425"/>
      <x:c r="D1" s="425"/>
      <x:c r="E1" s="425"/>
      <x:c r="F1" s="425"/>
      <x:c r="G1" s="425"/>
      <x:c r="H1" s="425"/>
      <x:c r="I1" s="425"/>
      <x:c r="J1" s="425"/>
      <x:c r="K1" s="425"/>
      <x:c r="L1" s="425"/>
      <x:c r="M1" s="425"/>
      <x:c r="N1" s="425"/>
      <x:c r="O1" s="425"/>
      <x:c r="P1" s="425"/>
      <x:c r="Q1" s="425"/>
      <x:c r="R1" s="425"/>
      <x:c r="S1" s="425"/>
      <x:c r="T1" s="425"/>
      <x:c r="U1" s="425"/>
      <x:c r="V1" s="425"/>
      <x:c r="W1" s="425"/>
      <x:c r="X1" s="425"/>
      <x:c r="Y1" s="425"/>
      <x:c r="Z1" s="426"/>
      <x:c r="AA1" s="427" t="s">
        <x:v>614</x:v>
      </x:c>
      <x:c r="AB1" s="428"/>
      <x:c r="AC1" s="428"/>
      <x:c r="AD1" s="428"/>
      <x:c r="AE1" s="428"/>
      <x:c r="AF1" s="428"/>
      <x:c r="AG1" s="428"/>
      <x:c r="AH1" s="428"/>
      <x:c r="AI1" s="428"/>
      <x:c r="AJ1" s="428"/>
      <x:c r="AK1" s="428"/>
      <x:c r="AL1" s="428"/>
      <x:c r="AM1" s="428"/>
      <x:c r="AN1" s="428"/>
      <x:c r="AO1" s="428"/>
      <x:c r="AP1" s="428"/>
      <x:c r="AQ1" s="428"/>
      <x:c r="AR1" s="428"/>
      <x:c r="AS1" s="428"/>
      <x:c r="AT1" s="428"/>
      <x:c r="AU1" s="428"/>
      <x:c r="AV1" s="428"/>
      <x:c r="AW1" s="428"/>
      <x:c r="AX1" s="428"/>
      <x:c r="AY1" s="428"/>
      <x:c r="AZ1" s="428"/>
      <x:c r="BA1" s="428"/>
      <x:c r="BB1" s="428"/>
      <x:c r="BC1" s="428"/>
      <x:c r="BD1" s="428"/>
      <x:c r="BE1" s="428"/>
      <x:c r="BF1" s="428"/>
      <x:c r="BG1" s="428"/>
      <x:c r="BH1" s="428"/>
      <x:c r="BI1" s="428"/>
      <x:c r="BJ1" s="428"/>
      <x:c r="BK1" s="428"/>
      <x:c r="BL1" s="428"/>
      <x:c r="BM1" s="428"/>
      <x:c r="BN1" s="428"/>
      <x:c r="BO1" s="428"/>
      <x:c r="BP1" s="428"/>
      <x:c r="BQ1" s="428"/>
      <x:c r="BR1" s="428"/>
      <x:c r="BS1" s="428"/>
      <x:c r="BT1" s="428"/>
      <x:c r="BU1" s="428"/>
      <x:c r="BV1" s="428"/>
      <x:c r="BW1" s="429"/>
      <x:c r="BX1" s="430" t="s">
        <x:v>615</x:v>
      </x:c>
      <x:c r="BY1" s="430"/>
      <x:c r="BZ1" s="430"/>
      <x:c r="CA1" s="430"/>
      <x:c r="CB1" s="430"/>
      <x:c r="CC1" s="431"/>
      <x:c r="CD1" s="430" t="s">
        <x:v>616</x:v>
      </x:c>
      <x:c r="CE1" s="430"/>
      <x:c r="CF1" s="430"/>
      <x:c r="CG1" s="430"/>
      <x:c r="CH1" s="430"/>
      <x:c r="CI1" s="430"/>
      <x:c r="CJ1" s="432"/>
      <x:c r="CK1" s="433"/>
      <x:c r="CL1" s="434" t="s">
        <x:v>617</x:v>
      </x:c>
      <x:c r="CM1" s="435"/>
      <x:c r="CN1" s="435"/>
      <x:c r="CO1" s="435"/>
      <x:c r="CP1" s="435"/>
      <x:c r="CQ1" s="435"/>
      <x:c r="CR1" s="435"/>
      <x:c r="CS1" s="435"/>
      <x:c r="CT1" s="436"/>
    </x:row>
    <x:row r="2" spans="1:98" ht="17.25" customHeight="1">
      <x:c r="A2" s="437"/>
      <x:c r="B2" s="438"/>
      <x:c r="C2" s="438"/>
      <x:c r="D2" s="438"/>
      <x:c r="E2" s="438"/>
      <x:c r="F2" s="438"/>
      <x:c r="G2" s="438"/>
      <x:c r="H2" s="438"/>
      <x:c r="I2" s="438"/>
      <x:c r="J2" s="438"/>
      <x:c r="K2" s="438"/>
      <x:c r="L2" s="438"/>
      <x:c r="M2" s="438"/>
      <x:c r="N2" s="438"/>
      <x:c r="O2" s="438"/>
      <x:c r="P2" s="438"/>
      <x:c r="Q2" s="438"/>
      <x:c r="R2" s="438"/>
      <x:c r="S2" s="438"/>
      <x:c r="T2" s="438"/>
      <x:c r="U2" s="438"/>
      <x:c r="V2" s="438"/>
      <x:c r="W2" s="438"/>
      <x:c r="X2" s="438"/>
      <x:c r="Y2" s="438"/>
      <x:c r="Z2" s="439"/>
      <x:c r="AA2" s="440" t="s">
        <x:v>618</x:v>
      </x:c>
      <x:c r="AB2" s="440"/>
      <x:c r="AC2" s="440"/>
      <x:c r="AD2" s="440"/>
      <x:c r="AE2" s="440"/>
      <x:c r="AF2" s="440"/>
      <x:c r="AG2" s="440"/>
      <x:c r="AH2" s="441"/>
      <x:c r="AI2" s="442"/>
      <x:c r="AJ2" s="443" t="s">
        <x:v>619</x:v>
      </x:c>
      <x:c r="AK2" s="443"/>
      <x:c r="AL2" s="443"/>
      <x:c r="AM2" s="443"/>
      <x:c r="AN2" s="443"/>
      <x:c r="AO2" s="443"/>
      <x:c r="AP2" s="443"/>
      <x:c r="AQ2" s="443"/>
      <x:c r="AR2" s="443"/>
      <x:c r="AS2" s="443"/>
      <x:c r="AT2" s="443"/>
      <x:c r="AU2" s="443"/>
      <x:c r="AV2" s="443"/>
      <x:c r="AW2" s="443"/>
      <x:c r="AX2" s="443"/>
      <x:c r="AY2" s="443"/>
      <x:c r="AZ2" s="443"/>
      <x:c r="BA2" s="443"/>
      <x:c r="BB2" s="443"/>
      <x:c r="BC2" s="443"/>
      <x:c r="BD2" s="443"/>
      <x:c r="BE2" s="443"/>
      <x:c r="BF2" s="443"/>
      <x:c r="BG2" s="443"/>
      <x:c r="BH2" s="443"/>
      <x:c r="BI2" s="443"/>
      <x:c r="BJ2" s="443"/>
      <x:c r="BK2" s="443"/>
      <x:c r="BL2" s="443"/>
      <x:c r="BM2" s="443"/>
      <x:c r="BN2" s="443"/>
      <x:c r="BO2" s="443"/>
      <x:c r="BP2" s="443"/>
      <x:c r="BQ2" s="443"/>
      <x:c r="BR2" s="443"/>
      <x:c r="BS2" s="443"/>
      <x:c r="BT2" s="443"/>
      <x:c r="BU2" s="443"/>
      <x:c r="BV2" s="443"/>
      <x:c r="BW2" s="443"/>
      <x:c r="BX2" s="443"/>
      <x:c r="BY2" s="443"/>
      <x:c r="BZ2" s="443"/>
      <x:c r="CA2" s="443"/>
      <x:c r="CB2" s="443"/>
      <x:c r="CC2" s="443"/>
      <x:c r="CD2" s="443"/>
      <x:c r="CE2" s="443"/>
      <x:c r="CF2" s="443"/>
      <x:c r="CG2" s="443"/>
      <x:c r="CH2" s="443"/>
      <x:c r="CI2" s="443"/>
      <x:c r="CJ2" s="444"/>
      <x:c r="CK2" s="433"/>
      <x:c r="CL2" s="434" t="s">
        <x:v>620</x:v>
      </x:c>
      <x:c r="CM2" s="435"/>
      <x:c r="CN2" s="435"/>
      <x:c r="CO2" s="435"/>
      <x:c r="CP2" s="436"/>
      <x:c r="CQ2" s="434" t="s">
        <x:v>621</x:v>
      </x:c>
      <x:c r="CR2" s="435"/>
      <x:c r="CS2" s="435"/>
      <x:c r="CT2" s="436"/>
    </x:row>
    <x:row r="3" spans="1:98">
      <x:c r="A3" s="437"/>
      <x:c r="B3" s="438"/>
      <x:c r="C3" s="438"/>
      <x:c r="D3" s="438"/>
      <x:c r="E3" s="438"/>
      <x:c r="F3" s="438"/>
      <x:c r="G3" s="438"/>
      <x:c r="H3" s="438"/>
      <x:c r="I3" s="438"/>
      <x:c r="J3" s="438"/>
      <x:c r="K3" s="438"/>
      <x:c r="L3" s="438"/>
      <x:c r="M3" s="438"/>
      <x:c r="N3" s="438"/>
      <x:c r="O3" s="438"/>
      <x:c r="P3" s="438"/>
      <x:c r="Q3" s="438"/>
      <x:c r="R3" s="438"/>
      <x:c r="S3" s="438"/>
      <x:c r="T3" s="438"/>
      <x:c r="U3" s="438"/>
      <x:c r="V3" s="438"/>
      <x:c r="W3" s="438"/>
      <x:c r="X3" s="438"/>
      <x:c r="Y3" s="438"/>
      <x:c r="Z3" s="439"/>
      <x:c r="AA3" s="440" t="s">
        <x:v>622</x:v>
      </x:c>
      <x:c r="AB3" s="440"/>
      <x:c r="AC3" s="440"/>
      <x:c r="AD3" s="440"/>
      <x:c r="AE3" s="440"/>
      <x:c r="AF3" s="440"/>
      <x:c r="AG3" s="440"/>
      <x:c r="AH3" s="441"/>
      <x:c r="AI3" s="445"/>
      <x:c r="AJ3" s="446" t="s"/>
      <x:c r="AK3" s="446"/>
      <x:c r="AL3" s="446"/>
      <x:c r="AM3" s="446"/>
      <x:c r="AN3" s="446"/>
      <x:c r="AO3" s="446"/>
      <x:c r="AP3" s="446"/>
      <x:c r="AQ3" s="446"/>
      <x:c r="AR3" s="446"/>
      <x:c r="AS3" s="446"/>
      <x:c r="AT3" s="446"/>
      <x:c r="AU3" s="446"/>
      <x:c r="AV3" s="446"/>
      <x:c r="AW3" s="446"/>
      <x:c r="AX3" s="446"/>
      <x:c r="AY3" s="446"/>
      <x:c r="AZ3" s="446"/>
      <x:c r="BA3" s="446"/>
      <x:c r="BB3" s="446"/>
      <x:c r="BC3" s="446"/>
      <x:c r="BD3" s="446"/>
      <x:c r="BE3" s="446"/>
      <x:c r="BF3" s="446"/>
      <x:c r="BG3" s="446"/>
      <x:c r="BH3" s="446"/>
      <x:c r="BI3" s="446"/>
      <x:c r="BJ3" s="446"/>
      <x:c r="BK3" s="446"/>
      <x:c r="BL3" s="446"/>
      <x:c r="BM3" s="446"/>
      <x:c r="BN3" s="446"/>
      <x:c r="BO3" s="446"/>
      <x:c r="BP3" s="446"/>
      <x:c r="BQ3" s="446"/>
      <x:c r="BR3" s="446"/>
      <x:c r="BS3" s="446"/>
      <x:c r="BT3" s="446"/>
      <x:c r="BU3" s="446"/>
      <x:c r="BV3" s="446"/>
      <x:c r="BW3" s="446"/>
      <x:c r="BX3" s="446"/>
      <x:c r="BY3" s="446"/>
      <x:c r="BZ3" s="446"/>
      <x:c r="CA3" s="446"/>
      <x:c r="CB3" s="446"/>
      <x:c r="CC3" s="446"/>
      <x:c r="CD3" s="446"/>
      <x:c r="CE3" s="446"/>
      <x:c r="CF3" s="446"/>
      <x:c r="CG3" s="446"/>
      <x:c r="CH3" s="446"/>
      <x:c r="CI3" s="446"/>
      <x:c r="CJ3" s="447"/>
      <x:c r="CK3" s="433"/>
      <x:c r="CL3" s="448"/>
      <x:c r="CM3" s="449"/>
      <x:c r="CN3" s="449"/>
      <x:c r="CO3" s="449"/>
      <x:c r="CP3" s="450"/>
      <x:c r="CQ3" s="451"/>
      <x:c r="CT3" s="452"/>
    </x:row>
    <x:row r="4" spans="1:98">
      <x:c r="A4" s="437"/>
      <x:c r="B4" s="438"/>
      <x:c r="C4" s="438"/>
      <x:c r="D4" s="438"/>
      <x:c r="E4" s="438"/>
      <x:c r="F4" s="438"/>
      <x:c r="G4" s="438"/>
      <x:c r="H4" s="438"/>
      <x:c r="I4" s="438"/>
      <x:c r="J4" s="438"/>
      <x:c r="K4" s="438"/>
      <x:c r="L4" s="438"/>
      <x:c r="M4" s="438"/>
      <x:c r="N4" s="438"/>
      <x:c r="O4" s="438"/>
      <x:c r="P4" s="438"/>
      <x:c r="Q4" s="438"/>
      <x:c r="R4" s="438"/>
      <x:c r="S4" s="438"/>
      <x:c r="T4" s="438"/>
      <x:c r="U4" s="438"/>
      <x:c r="V4" s="438"/>
      <x:c r="W4" s="438"/>
      <x:c r="X4" s="438"/>
      <x:c r="Y4" s="438"/>
      <x:c r="Z4" s="439"/>
      <x:c r="AA4" s="446" t="s">
        <x:v>623</x:v>
      </x:c>
      <x:c r="AB4" s="446"/>
      <x:c r="AC4" s="446"/>
      <x:c r="AD4" s="446"/>
      <x:c r="AE4" s="446"/>
      <x:c r="AF4" s="446"/>
      <x:c r="AG4" s="446"/>
      <x:c r="AH4" s="453"/>
      <x:c r="AI4" s="445"/>
      <x:c r="AJ4" s="446"/>
      <x:c r="AK4" s="446"/>
      <x:c r="AL4" s="446"/>
      <x:c r="AM4" s="446"/>
      <x:c r="AN4" s="446"/>
      <x:c r="AO4" s="446"/>
      <x:c r="AP4" s="446"/>
      <x:c r="AQ4" s="446"/>
      <x:c r="AR4" s="446"/>
      <x:c r="AS4" s="446"/>
      <x:c r="AT4" s="446"/>
      <x:c r="AU4" s="446"/>
      <x:c r="AV4" s="446"/>
      <x:c r="AW4" s="446"/>
      <x:c r="AX4" s="446"/>
      <x:c r="AY4" s="446"/>
      <x:c r="AZ4" s="446"/>
      <x:c r="BA4" s="446"/>
      <x:c r="BB4" s="446"/>
      <x:c r="BC4" s="446"/>
      <x:c r="BD4" s="446"/>
      <x:c r="BE4" s="446"/>
      <x:c r="BF4" s="446"/>
      <x:c r="BG4" s="446"/>
      <x:c r="BH4" s="446"/>
      <x:c r="BI4" s="446"/>
      <x:c r="BJ4" s="446"/>
      <x:c r="BK4" s="446"/>
      <x:c r="BL4" s="446"/>
      <x:c r="BM4" s="446"/>
      <x:c r="BN4" s="446"/>
      <x:c r="BO4" s="446"/>
      <x:c r="BP4" s="446"/>
      <x:c r="BQ4" s="446"/>
      <x:c r="BR4" s="446"/>
      <x:c r="BS4" s="446"/>
      <x:c r="BT4" s="446"/>
      <x:c r="BU4" s="446"/>
      <x:c r="BV4" s="446"/>
      <x:c r="BW4" s="446"/>
      <x:c r="BX4" s="446"/>
      <x:c r="BY4" s="446"/>
      <x:c r="BZ4" s="446"/>
      <x:c r="CA4" s="446"/>
      <x:c r="CB4" s="446"/>
      <x:c r="CC4" s="446"/>
      <x:c r="CD4" s="446"/>
      <x:c r="CE4" s="446"/>
      <x:c r="CF4" s="446"/>
      <x:c r="CG4" s="446"/>
      <x:c r="CH4" s="446"/>
      <x:c r="CI4" s="446"/>
      <x:c r="CJ4" s="447"/>
      <x:c r="CK4" s="433"/>
      <x:c r="CL4" s="454"/>
      <x:c r="CM4" s="455" t="s">
        <x:v>624</x:v>
      </x:c>
      <x:c r="CN4" s="456" t="s">
        <x:v>625</x:v>
      </x:c>
      <x:c r="CO4" s="457"/>
      <x:c r="CP4" s="458"/>
      <x:c r="CQ4" s="451"/>
      <x:c r="CR4" s="459" t="s">
        <x:v>626</x:v>
      </x:c>
      <x:c r="CS4" s="460" t="s">
        <x:v>627</x:v>
      </x:c>
      <x:c r="CT4" s="452"/>
    </x:row>
    <x:row r="5" spans="1:98" ht="16.5" customHeight="1">
      <x:c r="A5" s="437"/>
      <x:c r="B5" s="438"/>
      <x:c r="C5" s="438"/>
      <x:c r="D5" s="438"/>
      <x:c r="E5" s="438"/>
      <x:c r="F5" s="438"/>
      <x:c r="G5" s="438"/>
      <x:c r="H5" s="438"/>
      <x:c r="I5" s="438"/>
      <x:c r="J5" s="438"/>
      <x:c r="K5" s="438"/>
      <x:c r="L5" s="438"/>
      <x:c r="M5" s="438"/>
      <x:c r="N5" s="438"/>
      <x:c r="O5" s="438"/>
      <x:c r="P5" s="438"/>
      <x:c r="Q5" s="438"/>
      <x:c r="R5" s="438"/>
      <x:c r="S5" s="438"/>
      <x:c r="T5" s="438"/>
      <x:c r="U5" s="438"/>
      <x:c r="V5" s="438"/>
      <x:c r="W5" s="438"/>
      <x:c r="X5" s="438"/>
      <x:c r="Y5" s="438"/>
      <x:c r="Z5" s="439"/>
      <x:c r="AA5" s="446" t="s">
        <x:v>628</x:v>
      </x:c>
      <x:c r="AB5" s="446"/>
      <x:c r="AC5" s="446"/>
      <x:c r="AD5" s="446"/>
      <x:c r="AE5" s="446"/>
      <x:c r="AF5" s="446"/>
      <x:c r="AG5" s="446"/>
      <x:c r="AH5" s="453"/>
      <x:c r="AI5" s="445"/>
      <x:c r="AJ5" s="446" t="s">
        <x:v>629</x:v>
      </x:c>
      <x:c r="AK5" s="446"/>
      <x:c r="AL5" s="446"/>
      <x:c r="AM5" s="446"/>
      <x:c r="AN5" s="446"/>
      <x:c r="AO5" s="446"/>
      <x:c r="AP5" s="446"/>
      <x:c r="AQ5" s="446"/>
      <x:c r="AR5" s="446"/>
      <x:c r="AS5" s="446"/>
      <x:c r="AT5" s="446"/>
      <x:c r="AU5" s="446"/>
      <x:c r="AV5" s="446"/>
      <x:c r="AW5" s="446"/>
      <x:c r="AX5" s="446"/>
      <x:c r="AY5" s="446"/>
      <x:c r="AZ5" s="446"/>
      <x:c r="BA5" s="446"/>
      <x:c r="BB5" s="446"/>
      <x:c r="BC5" s="446"/>
      <x:c r="BD5" s="446"/>
      <x:c r="BE5" s="446"/>
      <x:c r="BF5" s="446"/>
      <x:c r="BG5" s="446"/>
      <x:c r="BH5" s="446"/>
      <x:c r="BI5" s="446"/>
      <x:c r="BJ5" s="446"/>
      <x:c r="BK5" s="446"/>
      <x:c r="BL5" s="446"/>
      <x:c r="BM5" s="446"/>
      <x:c r="BN5" s="453"/>
      <x:c r="BO5" s="445" t="s">
        <x:v>630</x:v>
      </x:c>
      <x:c r="BP5" s="461"/>
      <x:c r="BQ5" s="445"/>
      <x:c r="BR5" s="462"/>
      <x:c r="BS5" s="462"/>
      <x:c r="BT5" s="462"/>
      <x:c r="BU5" s="462"/>
      <x:c r="BV5" s="462"/>
      <x:c r="BW5" s="461"/>
      <x:c r="BX5" s="463"/>
      <x:c r="BY5" s="464"/>
      <x:c r="BZ5" s="464"/>
      <x:c r="CA5" s="464"/>
      <x:c r="CB5" s="464"/>
      <x:c r="CC5" s="464"/>
      <x:c r="CD5" s="464"/>
      <x:c r="CE5" s="464"/>
      <x:c r="CF5" s="464"/>
      <x:c r="CG5" s="464"/>
      <x:c r="CH5" s="464"/>
      <x:c r="CI5" s="464"/>
      <x:c r="CJ5" s="465"/>
      <x:c r="CK5" s="433"/>
      <x:c r="CL5" s="454"/>
      <x:c r="CM5" s="466" t="s">
        <x:v>631</x:v>
      </x:c>
      <x:c r="CN5" s="467" t="s">
        <x:v>632</x:v>
      </x:c>
      <x:c r="CO5" s="468"/>
      <x:c r="CP5" s="458"/>
      <x:c r="CQ5" s="451"/>
      <x:c r="CR5" s="469" t="s">
        <x:v>633</x:v>
      </x:c>
      <x:c r="CS5" s="470">
        <x:f>IFERROR(
  IF(INDEX(ACC!F:F, MATCH(CS4, ACC!A:A, 0)) = "",
     "-",
     INDEX(ACC!F:F, MATCH(CS4, ACC!A:A, 0))),
  "-"
)</x:f>
      </x:c>
      <x:c r="CT5" s="452"/>
    </x:row>
    <x:row r="6" spans="1:98" ht="17.25" customHeight="1">
      <x:c r="A6" s="471"/>
      <x:c r="B6" s="472"/>
      <x:c r="C6" s="472"/>
      <x:c r="D6" s="472"/>
      <x:c r="E6" s="472"/>
      <x:c r="F6" s="472"/>
      <x:c r="G6" s="472"/>
      <x:c r="H6" s="472"/>
      <x:c r="I6" s="472"/>
      <x:c r="J6" s="472"/>
      <x:c r="K6" s="472"/>
      <x:c r="L6" s="472"/>
      <x:c r="M6" s="472"/>
      <x:c r="N6" s="472"/>
      <x:c r="O6" s="472"/>
      <x:c r="P6" s="472"/>
      <x:c r="Q6" s="472"/>
      <x:c r="R6" s="472"/>
      <x:c r="S6" s="472"/>
      <x:c r="T6" s="472"/>
      <x:c r="U6" s="472"/>
      <x:c r="V6" s="472"/>
      <x:c r="W6" s="472"/>
      <x:c r="X6" s="472"/>
      <x:c r="Y6" s="472"/>
      <x:c r="Z6" s="473"/>
      <x:c r="AA6" s="474" t="s">
        <x:v>634</x:v>
      </x:c>
      <x:c r="AB6" s="474"/>
      <x:c r="AC6" s="474"/>
      <x:c r="AD6" s="474"/>
      <x:c r="AE6" s="474"/>
      <x:c r="AF6" s="474"/>
      <x:c r="AG6" s="474"/>
      <x:c r="AH6" s="475"/>
      <x:c r="AI6" s="476"/>
      <x:c r="AJ6" s="477"/>
      <x:c r="AK6" s="477"/>
      <x:c r="AL6" s="477"/>
      <x:c r="AM6" s="477"/>
      <x:c r="AN6" s="477"/>
      <x:c r="AO6" s="477"/>
      <x:c r="AP6" s="477"/>
      <x:c r="AQ6" s="477"/>
      <x:c r="AR6" s="477"/>
      <x:c r="AS6" s="477"/>
      <x:c r="AT6" s="477"/>
      <x:c r="AU6" s="477"/>
      <x:c r="AV6" s="477"/>
      <x:c r="AW6" s="477"/>
      <x:c r="AX6" s="477"/>
      <x:c r="AY6" s="477"/>
      <x:c r="AZ6" s="477"/>
      <x:c r="BA6" s="477"/>
      <x:c r="BB6" s="477"/>
      <x:c r="BC6" s="477"/>
      <x:c r="BD6" s="477"/>
      <x:c r="BE6" s="477"/>
      <x:c r="BF6" s="477"/>
      <x:c r="BG6" s="477"/>
      <x:c r="BH6" s="477"/>
      <x:c r="BI6" s="477"/>
      <x:c r="BJ6" s="477"/>
      <x:c r="BK6" s="477"/>
      <x:c r="BL6" s="477"/>
      <x:c r="BM6" s="477"/>
      <x:c r="BN6" s="478"/>
      <x:c r="BO6" s="476" t="s">
        <x:v>635</x:v>
      </x:c>
      <x:c r="BP6" s="479"/>
      <x:c r="BQ6" s="476"/>
      <x:c r="BR6" s="480"/>
      <x:c r="BS6" s="480"/>
      <x:c r="BT6" s="480"/>
      <x:c r="BU6" s="480"/>
      <x:c r="BV6" s="480"/>
      <x:c r="BW6" s="479"/>
      <x:c r="BX6" s="481" t="s">
        <x:v>636</x:v>
      </x:c>
      <x:c r="BY6" s="482"/>
      <x:c r="BZ6" s="482"/>
      <x:c r="CA6" s="482"/>
      <x:c r="CB6" s="482"/>
      <x:c r="CC6" s="482"/>
      <x:c r="CD6" s="482"/>
      <x:c r="CE6" s="482"/>
      <x:c r="CF6" s="482"/>
      <x:c r="CG6" s="482"/>
      <x:c r="CH6" s="482"/>
      <x:c r="CI6" s="482"/>
      <x:c r="CJ6" s="483"/>
      <x:c r="CK6" s="433"/>
      <x:c r="CL6" s="454"/>
      <x:c r="CM6" s="466" t="s">
        <x:v>637</x:v>
      </x:c>
      <x:c r="CN6" s="467">
        <x:f>IFERROR(
IF(INDEX(ACT!C:C, MATCH(CN4,ACT!B:B, 0))="", "-",
INDEX(ACT!C:C, MATCH(CN4,ACT!B:B, 0))), "-"
)</x:f>
      </x:c>
      <x:c r="CO6" s="468"/>
      <x:c r="CP6" s="458"/>
      <x:c r="CQ6" s="451"/>
      <x:c r="CR6" s="469" t="s">
        <x:v>638</x:v>
      </x:c>
      <x:c r="CS6" s="470">
        <x:f>IFERROR(
  IF(INDEX(ACC!E:E, MATCH(CS4, ACC!A:A, 0)) = "",
     "-",
     INDEX(ACC!E:E, MATCH(CS4, ACC!A:A, 0))),
  "-"
)</x:f>
      </x:c>
      <x:c r="CT6" s="452"/>
    </x:row>
    <x:row r="7" spans="1:98" ht="21" customHeight="1">
      <x:c r="A7" s="484"/>
      <x:c r="B7" s="485"/>
      <x:c r="C7" s="485"/>
      <x:c r="D7" s="485"/>
      <x:c r="E7" s="485"/>
      <x:c r="F7" s="485"/>
      <x:c r="G7" s="485"/>
      <x:c r="H7" s="485"/>
      <x:c r="I7" s="485"/>
      <x:c r="J7" s="485"/>
      <x:c r="K7" s="485"/>
      <x:c r="L7" s="485"/>
      <x:c r="M7" s="485"/>
      <x:c r="N7" s="485"/>
      <x:c r="O7" s="485"/>
      <x:c r="P7" s="485"/>
      <x:c r="Q7" s="485"/>
      <x:c r="R7" s="485"/>
      <x:c r="S7" s="485"/>
      <x:c r="T7" s="485"/>
      <x:c r="U7" s="485"/>
      <x:c r="V7" s="485"/>
      <x:c r="W7" s="485"/>
      <x:c r="X7" s="485"/>
      <x:c r="Y7" s="485"/>
      <x:c r="Z7" s="485"/>
      <x:c r="AA7" s="486"/>
      <x:c r="AB7" s="486"/>
      <x:c r="AC7" s="486"/>
      <x:c r="AD7" s="486"/>
      <x:c r="AE7" s="486"/>
      <x:c r="AF7" s="486"/>
      <x:c r="AG7" s="486"/>
      <x:c r="AH7" s="486"/>
      <x:c r="AI7" s="487"/>
      <x:c r="AJ7" s="487"/>
      <x:c r="AK7" s="487"/>
      <x:c r="AL7" s="487"/>
      <x:c r="AM7" s="487"/>
      <x:c r="AN7" s="487"/>
      <x:c r="AO7" s="487"/>
      <x:c r="AP7" s="487"/>
      <x:c r="AQ7" s="487"/>
      <x:c r="AR7" s="487"/>
      <x:c r="AS7" s="487"/>
      <x:c r="AT7" s="487"/>
      <x:c r="AU7" s="487"/>
      <x:c r="AV7" s="487"/>
      <x:c r="AW7" s="487"/>
      <x:c r="AX7" s="487"/>
      <x:c r="AY7" s="487"/>
      <x:c r="AZ7" s="487"/>
      <x:c r="BA7" s="487"/>
      <x:c r="BB7" s="487"/>
      <x:c r="BC7" s="487"/>
      <x:c r="BD7" s="487"/>
      <x:c r="BE7" s="487"/>
      <x:c r="BF7" s="487"/>
      <x:c r="BG7" s="487"/>
      <x:c r="BH7" s="487"/>
      <x:c r="BI7" s="487"/>
      <x:c r="BJ7" s="487"/>
      <x:c r="BK7" s="487"/>
      <x:c r="BL7" s="487"/>
      <x:c r="BM7" s="487"/>
      <x:c r="BN7" s="487"/>
      <x:c r="BO7" s="487"/>
      <x:c r="BP7" s="487"/>
      <x:c r="BQ7" s="487"/>
      <x:c r="BR7" s="487"/>
      <x:c r="BS7" s="487"/>
      <x:c r="BT7" s="487"/>
      <x:c r="BU7" s="487"/>
      <x:c r="BV7" s="487"/>
      <x:c r="BW7" s="487"/>
      <x:c r="BX7" s="430"/>
      <x:c r="BY7" s="430"/>
      <x:c r="BZ7" s="430"/>
      <x:c r="CA7" s="430"/>
      <x:c r="CB7" s="430"/>
      <x:c r="CC7" s="430"/>
      <x:c r="CD7" s="430"/>
      <x:c r="CE7" s="430"/>
      <x:c r="CF7" s="430"/>
      <x:c r="CG7" s="430"/>
      <x:c r="CH7" s="430"/>
      <x:c r="CI7" s="430"/>
      <x:c r="CJ7" s="432"/>
      <x:c r="CK7" s="433"/>
      <x:c r="CL7" s="454"/>
      <x:c r="CM7" s="466" t="s">
        <x:v>639</x:v>
      </x:c>
      <x:c r="CN7" s="467">
        <x:f>IFERROR(
IF(INDEX(ACT!M:M,MATCH(1,(ACT!H:H=CN18)*(ACT!I:I=CN17),0))="", "-",
INDEX(ACT!M:M,MATCH(1,(ACT!H:H=CN18)*(ACT!I:I=CN17),0))), "-"
)</x:f>
      </x:c>
      <x:c r="CO7" s="468">
        <x:f>IFERROR(
IF(INDEX(ACT!F:F, MATCH(CN4,ACT!B:B, 0)) = "", "-",
INDEX(ACT!F:F, MATCH(CN4,ACT!B:B, 0))), "-"
)</x:f>
      </x:c>
      <x:c r="CP7" s="458"/>
      <x:c r="CQ7" s="451"/>
      <x:c r="CR7" s="469" t="s">
        <x:v>640</x:v>
      </x:c>
      <x:c r="CS7" s="470">
        <x:f>IFERROR(
  IF(INDEX(ACC!C:C, MATCH(CS4, ACC!A:A, 0)) = "",
     "-",
     INDEX(ACC!C:C, MATCH(CS4, ACC!A:A, 0))),
  "-"
)</x:f>
      </x:c>
      <x:c r="CT7" s="452"/>
    </x:row>
    <x:row r="8" spans="1:98">
      <x:c r="A8" s="488" t="s">
        <x:v>641</x:v>
      </x:c>
      <x:c r="B8" s="489"/>
      <x:c r="C8" s="489"/>
      <x:c r="D8" s="490"/>
      <x:c r="E8" s="491">
        <x:v>1</x:v>
      </x:c>
      <x:c r="F8" s="492"/>
      <x:c r="G8" s="442" t="s">
        <x:v>642</x:v>
      </x:c>
      <x:c r="H8" s="493" t="s">
        <x:v>643</x:v>
      </x:c>
      <x:c r="I8" s="493"/>
      <x:c r="J8" s="493"/>
      <x:c r="K8" s="493"/>
      <x:c r="L8" s="493"/>
      <x:c r="M8" s="493"/>
      <x:c r="N8" s="493"/>
      <x:c r="O8" s="493"/>
      <x:c r="P8" s="493"/>
      <x:c r="Q8" s="493"/>
      <x:c r="R8" s="493"/>
      <x:c r="S8" s="493"/>
      <x:c r="T8" s="493"/>
      <x:c r="U8" s="494"/>
      <x:c r="V8" s="495" t="s"/>
      <x:c r="W8" s="493"/>
      <x:c r="X8" s="493"/>
      <x:c r="Y8" s="493"/>
      <x:c r="Z8" s="493"/>
      <x:c r="AA8" s="493"/>
      <x:c r="AB8" s="493"/>
      <x:c r="AC8" s="493"/>
      <x:c r="AD8" s="493"/>
      <x:c r="AE8" s="493"/>
      <x:c r="AF8" s="493"/>
      <x:c r="AG8" s="493"/>
      <x:c r="AH8" s="494"/>
      <x:c r="AI8" s="495" t="s"/>
      <x:c r="AJ8" s="493"/>
      <x:c r="AK8" s="493"/>
      <x:c r="AL8" s="493"/>
      <x:c r="AM8" s="493"/>
      <x:c r="AN8" s="493"/>
      <x:c r="AO8" s="493"/>
      <x:c r="AP8" s="493"/>
      <x:c r="AQ8" s="493"/>
      <x:c r="AR8" s="493"/>
      <x:c r="AS8" s="496"/>
      <x:c r="AT8" s="488" t="s">
        <x:v>644</x:v>
      </x:c>
      <x:c r="AU8" s="489"/>
      <x:c r="AV8" s="489"/>
      <x:c r="AW8" s="490"/>
      <x:c r="AX8" s="497">
        <x:v>46</x:v>
      </x:c>
      <x:c r="AY8" s="498"/>
      <x:c r="AZ8" s="442" t="s">
        <x:v>645</x:v>
      </x:c>
      <x:c r="BA8" s="443" t="s">
        <x:v>646</x:v>
      </x:c>
      <x:c r="BB8" s="443"/>
      <x:c r="BC8" s="443"/>
      <x:c r="BD8" s="443"/>
      <x:c r="BE8" s="443"/>
      <x:c r="BF8" s="443"/>
      <x:c r="BG8" s="443"/>
      <x:c r="BH8" s="443"/>
      <x:c r="BI8" s="443"/>
      <x:c r="BJ8" s="443"/>
      <x:c r="BK8" s="443"/>
      <x:c r="BL8" s="443"/>
      <x:c r="BM8" s="443"/>
      <x:c r="BN8" s="443"/>
      <x:c r="BO8" s="443"/>
      <x:c r="BP8" s="499"/>
      <x:c r="BQ8" s="500">
        <x:f>_xlfn.TEXTJOIN(" ", TRUE,
  IF(CN7&lt;&gt;"-", CN7, ""),
  IF(CO7&lt;&gt;"-", CO7, "")
)</x:f>
      </x:c>
      <x:c r="BR8" s="501"/>
      <x:c r="BS8" s="501"/>
      <x:c r="BT8" s="501"/>
      <x:c r="BU8" s="501"/>
      <x:c r="BV8" s="501"/>
      <x:c r="BW8" s="501"/>
      <x:c r="BX8" s="501"/>
      <x:c r="BY8" s="501"/>
      <x:c r="BZ8" s="501"/>
      <x:c r="CA8" s="501"/>
      <x:c r="CB8" s="501"/>
      <x:c r="CC8" s="501"/>
      <x:c r="CD8" s="501"/>
      <x:c r="CE8" s="501"/>
      <x:c r="CF8" s="501"/>
      <x:c r="CG8" s="501"/>
      <x:c r="CH8" s="501"/>
      <x:c r="CI8" s="501"/>
      <x:c r="CJ8" s="502"/>
      <x:c r="CK8" s="433"/>
      <x:c r="CL8" s="454"/>
      <x:c r="CM8" s="466" t="s">
        <x:v>647</x:v>
      </x:c>
      <x:c r="CN8" s="503">
        <x:f>IFERROR(
IF(INDEX(ACT!K:K,MATCH(1,(ACT!H:H=CN18)*(ACT!I:I=CN17),0))="", "-",
INDEX(ACT!K:K,MATCH(1,(ACT!H:H=CN18)*(ACT!I:I=CN17),0))), "-"
)</x:f>
      </x:c>
      <x:c r="CO8" s="503">
        <x:f>IFERROR(
IF(INDEX(ACT!L:L,MATCH(1,(ACT!H:H=CN18)*(ACT!I:I=CN17),0))="", "-",
INDEX(ACT!L:L,MATCH(1,(ACT!H:H=CN18)*(ACT!I:I=CN17),0))), "-"
)</x:f>
      </x:c>
      <x:c r="CP8" s="458"/>
      <x:c r="CQ8" s="451"/>
      <x:c r="CR8" s="469" t="s">
        <x:v>648</x:v>
      </x:c>
      <x:c r="CS8" s="470">
        <x:f>IFERROR(
  IF(INDEX(ACC!D:D, MATCH(CS4, ACC!A:A, 0)) = "",
     "-",
     INDEX(ACC!D:D, MATCH(CS4, ACC!A:A, 0))),
  "-"
)</x:f>
      </x:c>
      <x:c r="CT8" s="452"/>
    </x:row>
    <x:row r="9" spans="1:98">
      <x:c r="A9" s="504"/>
      <x:c r="B9" s="505"/>
      <x:c r="C9" s="505"/>
      <x:c r="D9" s="506"/>
      <x:c r="E9" s="507">
        <x:v>2</x:v>
      </x:c>
      <x:c r="F9" s="508"/>
      <x:c r="G9" s="509"/>
      <x:c r="H9" s="510"/>
      <x:c r="I9" s="510"/>
      <x:c r="J9" s="510"/>
      <x:c r="K9" s="510"/>
      <x:c r="L9" s="510"/>
      <x:c r="M9" s="510"/>
      <x:c r="N9" s="510"/>
      <x:c r="O9" s="510"/>
      <x:c r="P9" s="510"/>
      <x:c r="Q9" s="510"/>
      <x:c r="R9" s="510"/>
      <x:c r="S9" s="510"/>
      <x:c r="T9" s="510"/>
      <x:c r="U9" s="511"/>
      <x:c r="V9" s="463" t="s">
        <x:v>649</x:v>
      </x:c>
      <x:c r="W9" s="464"/>
      <x:c r="X9" s="464"/>
      <x:c r="Y9" s="464"/>
      <x:c r="Z9" s="464"/>
      <x:c r="AA9" s="464"/>
      <x:c r="AB9" s="464"/>
      <x:c r="AC9" s="512"/>
      <x:c r="AD9" s="463" t="s">
        <x:v>650</x:v>
      </x:c>
      <x:c r="AE9" s="464"/>
      <x:c r="AF9" s="464"/>
      <x:c r="AG9" s="464"/>
      <x:c r="AH9" s="464"/>
      <x:c r="AI9" s="464"/>
      <x:c r="AJ9" s="464"/>
      <x:c r="AK9" s="512"/>
      <x:c r="AL9" s="463" t="s">
        <x:v>651</x:v>
      </x:c>
      <x:c r="AM9" s="464"/>
      <x:c r="AN9" s="464"/>
      <x:c r="AO9" s="464"/>
      <x:c r="AP9" s="464"/>
      <x:c r="AQ9" s="464"/>
      <x:c r="AR9" s="464"/>
      <x:c r="AS9" s="465"/>
      <x:c r="AT9" s="504"/>
      <x:c r="AU9" s="505"/>
      <x:c r="AV9" s="505"/>
      <x:c r="AW9" s="506"/>
      <x:c r="AX9" s="513">
        <x:v>47</x:v>
      </x:c>
      <x:c r="AY9" s="514"/>
      <x:c r="AZ9" s="445" t="s">
        <x:v>652</x:v>
      </x:c>
      <x:c r="BA9" s="446" t="s">
        <x:v>653</x:v>
      </x:c>
      <x:c r="BB9" s="446"/>
      <x:c r="BC9" s="446"/>
      <x:c r="BD9" s="446"/>
      <x:c r="BE9" s="446"/>
      <x:c r="BF9" s="446"/>
      <x:c r="BG9" s="446"/>
      <x:c r="BH9" s="446"/>
      <x:c r="BI9" s="446"/>
      <x:c r="BJ9" s="446"/>
      <x:c r="BK9" s="446"/>
      <x:c r="BL9" s="446"/>
      <x:c r="BM9" s="446"/>
      <x:c r="BN9" s="446"/>
      <x:c r="BO9" s="446"/>
      <x:c r="BP9" s="453"/>
      <x:c r="BQ9" s="463">
        <x:f>IF(CN6="", "-", CN6)</x:f>
      </x:c>
      <x:c r="BR9" s="464"/>
      <x:c r="BS9" s="464"/>
      <x:c r="BT9" s="464"/>
      <x:c r="BU9" s="464"/>
      <x:c r="BV9" s="464"/>
      <x:c r="BW9" s="464"/>
      <x:c r="BX9" s="464"/>
      <x:c r="BY9" s="464"/>
      <x:c r="BZ9" s="464"/>
      <x:c r="CA9" s="464"/>
      <x:c r="CB9" s="464"/>
      <x:c r="CC9" s="464"/>
      <x:c r="CD9" s="464"/>
      <x:c r="CE9" s="464"/>
      <x:c r="CF9" s="464"/>
      <x:c r="CG9" s="464"/>
      <x:c r="CH9" s="464"/>
      <x:c r="CI9" s="464"/>
      <x:c r="CJ9" s="465"/>
      <x:c r="CK9" s="433"/>
      <x:c r="CL9" s="454"/>
      <x:c r="CM9" s="466" t="s">
        <x:v>654</x:v>
      </x:c>
      <x:c r="CN9" s="467">
        <x:f>IFERROR(
IF(INDEX(ACT!D:D, MATCH(CN4,ACT!B:B, 0))="", "-",
INDEX(ACT!D:D, MATCH(CN4,ACT!B:B, 0))), "-"
)</x:f>
      </x:c>
      <x:c r="CO9" s="468"/>
      <x:c r="CP9" s="458"/>
      <x:c r="CQ9" s="451"/>
      <x:c r="CR9" s="469" t="s">
        <x:v>655</x:v>
      </x:c>
      <x:c r="CS9" s="470">
        <x:f>IFERROR(
  IF(INDEX(ACC!B:B, MATCH(CS4, ACC!A:A, 0)) = "",
     "-",
     INDEX(ACC!B:B, MATCH(CS4, ACC!A:A, 0))),
  "-"
)</x:f>
      </x:c>
      <x:c r="CT9" s="452"/>
    </x:row>
    <x:row r="10" spans="1:98">
      <x:c r="A10" s="504"/>
      <x:c r="B10" s="505"/>
      <x:c r="C10" s="505"/>
      <x:c r="D10" s="506"/>
      <x:c r="E10" s="507">
        <x:v>3</x:v>
      </x:c>
      <x:c r="F10" s="508"/>
      <x:c r="G10" s="445" t="s">
        <x:v>656</x:v>
      </x:c>
      <x:c r="H10" s="446" t="s">
        <x:v>657</x:v>
      </x:c>
      <x:c r="I10" s="446"/>
      <x:c r="J10" s="446"/>
      <x:c r="K10" s="446"/>
      <x:c r="L10" s="446"/>
      <x:c r="M10" s="446"/>
      <x:c r="N10" s="446"/>
      <x:c r="O10" s="446"/>
      <x:c r="P10" s="453"/>
      <x:c r="Q10" s="463" t="s">
        <x:v>658</x:v>
      </x:c>
      <x:c r="R10" s="464"/>
      <x:c r="S10" s="464"/>
      <x:c r="T10" s="464"/>
      <x:c r="U10" s="512"/>
      <x:c r="V10" s="463" t="s">
        <x:v>659</x:v>
      </x:c>
      <x:c r="W10" s="464"/>
      <x:c r="X10" s="464"/>
      <x:c r="Y10" s="464"/>
      <x:c r="Z10" s="464"/>
      <x:c r="AA10" s="464"/>
      <x:c r="AB10" s="464"/>
      <x:c r="AC10" s="512"/>
      <x:c r="AD10" s="463" t="s">
        <x:v>659</x:v>
      </x:c>
      <x:c r="AE10" s="464"/>
      <x:c r="AF10" s="464"/>
      <x:c r="AG10" s="464"/>
      <x:c r="AH10" s="464"/>
      <x:c r="AI10" s="464"/>
      <x:c r="AJ10" s="464"/>
      <x:c r="AK10" s="512"/>
      <x:c r="AL10" s="463" t="s">
        <x:v>659</x:v>
      </x:c>
      <x:c r="AM10" s="464"/>
      <x:c r="AN10" s="464"/>
      <x:c r="AO10" s="464"/>
      <x:c r="AP10" s="464"/>
      <x:c r="AQ10" s="464"/>
      <x:c r="AR10" s="464"/>
      <x:c r="AS10" s="465"/>
      <x:c r="AT10" s="504"/>
      <x:c r="AU10" s="505"/>
      <x:c r="AV10" s="505"/>
      <x:c r="AW10" s="506"/>
      <x:c r="AX10" s="513">
        <x:v>48</x:v>
      </x:c>
      <x:c r="AY10" s="514"/>
      <x:c r="AZ10" s="445"/>
      <x:c r="BA10" s="446" t="s">
        <x:v>660</x:v>
      </x:c>
      <x:c r="BB10" s="446"/>
      <x:c r="BC10" s="446"/>
      <x:c r="BD10" s="446"/>
      <x:c r="BE10" s="446"/>
      <x:c r="BF10" s="446"/>
      <x:c r="BG10" s="453"/>
      <x:c r="BH10" s="515" t="s">
        <x:v>661</x:v>
      </x:c>
      <x:c r="BI10" s="446" t="s">
        <x:v>662</x:v>
      </x:c>
      <x:c r="BJ10" s="446"/>
      <x:c r="BK10" s="446"/>
      <x:c r="BL10" s="446"/>
      <x:c r="BM10" s="446"/>
      <x:c r="BN10" s="446"/>
      <x:c r="BO10" s="446"/>
      <x:c r="BP10" s="453"/>
      <x:c r="BQ10" s="463">
        <x:f>IF(CN8="", "-", CN8)</x:f>
      </x:c>
      <x:c r="BR10" s="464"/>
      <x:c r="BS10" s="464"/>
      <x:c r="BT10" s="464"/>
      <x:c r="BU10" s="464"/>
      <x:c r="BV10" s="464"/>
      <x:c r="BW10" s="464"/>
      <x:c r="BX10" s="464"/>
      <x:c r="BY10" s="464"/>
      <x:c r="BZ10" s="512"/>
      <x:c r="CA10" s="463">
        <x:f>IF(CO8="", "-", CO8)</x:f>
      </x:c>
      <x:c r="CB10" s="464"/>
      <x:c r="CC10" s="464"/>
      <x:c r="CD10" s="464"/>
      <x:c r="CE10" s="464"/>
      <x:c r="CF10" s="464"/>
      <x:c r="CG10" s="464"/>
      <x:c r="CH10" s="464"/>
      <x:c r="CI10" s="464"/>
      <x:c r="CJ10" s="465"/>
      <x:c r="CK10" s="433"/>
      <x:c r="CL10" s="454"/>
      <x:c r="CM10" s="466" t="s">
        <x:v>663</x:v>
      </x:c>
      <x:c r="CN10" s="467">
        <x:f>IFERROR(
IF(INDEX(ACT!E:E, MATCH(CN4,ACT!B:B, 0))="", "-",
INDEX(ACT!E:E, MATCH(CN4,ACT!B:B, 0))), "-"
)</x:f>
      </x:c>
      <x:c r="CO10" s="468"/>
      <x:c r="CP10" s="458"/>
      <x:c r="CQ10" s="451"/>
      <x:c r="CR10" s="469" t="s">
        <x:v>664</x:v>
      </x:c>
      <x:c r="CS10" s="470">
        <x:f>IFERROR(
  IF(INDEX(ACC!G:G, MATCH(CS4, ACC!A:A, 0)) = "",
     "-",
     INDEX(ACC!G:G, MATCH(CS4, ACC!A:A, 0))),
  "-"
)</x:f>
      </x:c>
      <x:c r="CT10" s="452"/>
    </x:row>
    <x:row r="11" spans="1:98" ht="16.5" customHeight="1">
      <x:c r="A11" s="504"/>
      <x:c r="B11" s="505"/>
      <x:c r="C11" s="505"/>
      <x:c r="D11" s="506"/>
      <x:c r="E11" s="507">
        <x:v>4</x:v>
      </x:c>
      <x:c r="F11" s="508"/>
      <x:c r="G11" s="445"/>
      <x:c r="H11" s="446" t="s">
        <x:v>665</x:v>
      </x:c>
      <x:c r="I11" s="446"/>
      <x:c r="J11" s="446"/>
      <x:c r="K11" s="446"/>
      <x:c r="L11" s="446"/>
      <x:c r="M11" s="446"/>
      <x:c r="N11" s="446"/>
      <x:c r="O11" s="446"/>
      <x:c r="P11" s="453"/>
      <x:c r="Q11" s="463" t="s">
        <x:v>666</x:v>
      </x:c>
      <x:c r="R11" s="464"/>
      <x:c r="S11" s="464"/>
      <x:c r="T11" s="464"/>
      <x:c r="U11" s="512"/>
      <x:c r="V11" s="463" t="s">
        <x:v>659</x:v>
      </x:c>
      <x:c r="W11" s="464"/>
      <x:c r="X11" s="464"/>
      <x:c r="Y11" s="464"/>
      <x:c r="Z11" s="464"/>
      <x:c r="AA11" s="464"/>
      <x:c r="AB11" s="464"/>
      <x:c r="AC11" s="512"/>
      <x:c r="AD11" s="463" t="s">
        <x:v>659</x:v>
      </x:c>
      <x:c r="AE11" s="464"/>
      <x:c r="AF11" s="464"/>
      <x:c r="AG11" s="464"/>
      <x:c r="AH11" s="464"/>
      <x:c r="AI11" s="464"/>
      <x:c r="AJ11" s="464"/>
      <x:c r="AK11" s="512"/>
      <x:c r="AL11" s="463" t="s">
        <x:v>659</x:v>
      </x:c>
      <x:c r="AM11" s="464"/>
      <x:c r="AN11" s="464"/>
      <x:c r="AO11" s="464"/>
      <x:c r="AP11" s="464"/>
      <x:c r="AQ11" s="464"/>
      <x:c r="AR11" s="464"/>
      <x:c r="AS11" s="512"/>
      <x:c r="AT11" s="504"/>
      <x:c r="AU11" s="505"/>
      <x:c r="AV11" s="505"/>
      <x:c r="AW11" s="506"/>
      <x:c r="AX11" s="513">
        <x:v>49</x:v>
      </x:c>
      <x:c r="AY11" s="514"/>
      <x:c r="AZ11" s="445" t="s">
        <x:v>667</x:v>
      </x:c>
      <x:c r="BA11" s="446" t="s">
        <x:v>668</x:v>
      </x:c>
      <x:c r="BB11" s="446"/>
      <x:c r="BC11" s="446"/>
      <x:c r="BD11" s="446"/>
      <x:c r="BE11" s="446"/>
      <x:c r="BF11" s="446"/>
      <x:c r="BG11" s="446"/>
      <x:c r="BH11" s="446"/>
      <x:c r="BI11" s="446"/>
      <x:c r="BJ11" s="446"/>
      <x:c r="BK11" s="446"/>
      <x:c r="BL11" s="446"/>
      <x:c r="BM11" s="446"/>
      <x:c r="BN11" s="446"/>
      <x:c r="BO11" s="446"/>
      <x:c r="BP11" s="453"/>
      <x:c r="BQ11" s="516">
        <x:f>IFERROR(
IF(INDEX(ACT!J:J,MATCH(1,(ACT!H:H=CN18)*(ACT!I:I=CN17),0))="", "-",
INDEX(ACT!J:J,MATCH(1,(ACT!H:H=CN18)*(ACT!I:I=CN17),0))), "-"
)</x:f>
      </x:c>
      <x:c r="BR11" s="516"/>
      <x:c r="BS11" s="516"/>
      <x:c r="BT11" s="516"/>
      <x:c r="BU11" s="516"/>
      <x:c r="BV11" s="516"/>
      <x:c r="BW11" s="516"/>
      <x:c r="BX11" s="516"/>
      <x:c r="BY11" s="516"/>
      <x:c r="BZ11" s="516"/>
      <x:c r="CA11" s="516"/>
      <x:c r="CB11" s="516"/>
      <x:c r="CC11" s="516"/>
      <x:c r="CD11" s="516"/>
      <x:c r="CE11" s="516"/>
      <x:c r="CF11" s="516"/>
      <x:c r="CG11" s="516"/>
      <x:c r="CH11" s="516"/>
      <x:c r="CI11" s="516"/>
      <x:c r="CJ11" s="517"/>
      <x:c r="CK11" s="433"/>
      <x:c r="CL11" s="454"/>
      <x:c r="CM11" s="455" t="s">
        <x:v>669</x:v>
      </x:c>
      <x:c r="CN11" s="456" t="s">
        <x:v>53</x:v>
      </x:c>
      <x:c r="CO11" s="457"/>
      <x:c r="CP11" s="458"/>
      <x:c r="CQ11" s="451"/>
      <x:c r="CR11" s="469" t="s">
        <x:v>670</x:v>
      </x:c>
      <x:c r="CS11" s="470">
        <x:f>IFERROR(
  IF(INDEX(ACC!H:H, MATCH(CS4, ACC!A:A, 0)) = "",
     "-",
     INDEX(ACC!H:H, MATCH(CS4, ACC!A:A, 0))),
  "-"
)</x:f>
      </x:c>
      <x:c r="CT11" s="452"/>
    </x:row>
    <x:row r="12" spans="1:98" ht="16.5" customHeight="1">
      <x:c r="A12" s="504"/>
      <x:c r="B12" s="505"/>
      <x:c r="C12" s="505"/>
      <x:c r="D12" s="506"/>
      <x:c r="E12" s="507">
        <x:v>5</x:v>
      </x:c>
      <x:c r="F12" s="508"/>
      <x:c r="G12" s="445" t="s">
        <x:v>671</x:v>
      </x:c>
      <x:c r="H12" s="446" t="s">
        <x:v>672</x:v>
      </x:c>
      <x:c r="I12" s="446"/>
      <x:c r="J12" s="446"/>
      <x:c r="K12" s="446"/>
      <x:c r="L12" s="446"/>
      <x:c r="M12" s="446"/>
      <x:c r="N12" s="446"/>
      <x:c r="O12" s="446"/>
      <x:c r="P12" s="453"/>
      <x:c r="Q12" s="463" t="s">
        <x:v>666</x:v>
      </x:c>
      <x:c r="R12" s="464"/>
      <x:c r="S12" s="464"/>
      <x:c r="T12" s="464"/>
      <x:c r="U12" s="512"/>
      <x:c r="V12" s="463" t="s">
        <x:v>659</x:v>
      </x:c>
      <x:c r="W12" s="464"/>
      <x:c r="X12" s="464"/>
      <x:c r="Y12" s="464"/>
      <x:c r="Z12" s="464"/>
      <x:c r="AA12" s="464"/>
      <x:c r="AB12" s="464"/>
      <x:c r="AC12" s="512"/>
      <x:c r="AD12" s="463" t="s">
        <x:v>659</x:v>
      </x:c>
      <x:c r="AE12" s="464"/>
      <x:c r="AF12" s="464"/>
      <x:c r="AG12" s="464"/>
      <x:c r="AH12" s="464"/>
      <x:c r="AI12" s="464"/>
      <x:c r="AJ12" s="464"/>
      <x:c r="AK12" s="512"/>
      <x:c r="AL12" s="463" t="s">
        <x:v>659</x:v>
      </x:c>
      <x:c r="AM12" s="464"/>
      <x:c r="AN12" s="464"/>
      <x:c r="AO12" s="464"/>
      <x:c r="AP12" s="464"/>
      <x:c r="AQ12" s="464"/>
      <x:c r="AR12" s="464"/>
      <x:c r="AS12" s="512"/>
      <x:c r="AT12" s="504"/>
      <x:c r="AU12" s="505"/>
      <x:c r="AV12" s="505"/>
      <x:c r="AW12" s="506"/>
      <x:c r="AX12" s="513">
        <x:v>50</x:v>
      </x:c>
      <x:c r="AY12" s="514"/>
      <x:c r="AZ12" s="445"/>
      <x:c r="BA12" s="446" t="s">
        <x:v>673</x:v>
      </x:c>
      <x:c r="BB12" s="446"/>
      <x:c r="BC12" s="446"/>
      <x:c r="BD12" s="446"/>
      <x:c r="BE12" s="446"/>
      <x:c r="BF12" s="446"/>
      <x:c r="BG12" s="446"/>
      <x:c r="BH12" s="446"/>
      <x:c r="BI12" s="446"/>
      <x:c r="BJ12" s="446"/>
      <x:c r="BK12" s="446"/>
      <x:c r="BL12" s="446"/>
      <x:c r="BM12" s="446"/>
      <x:c r="BN12" s="446"/>
      <x:c r="BO12" s="446"/>
      <x:c r="BP12" s="453"/>
      <x:c r="BQ12" s="518">
        <x:f>IF(CN9="", "-", CN9)</x:f>
      </x:c>
      <x:c r="BR12" s="519"/>
      <x:c r="BS12" s="519"/>
      <x:c r="BT12" s="519"/>
      <x:c r="BU12" s="519"/>
      <x:c r="BV12" s="519"/>
      <x:c r="BW12" s="519"/>
      <x:c r="BX12" s="519"/>
      <x:c r="BY12" s="519"/>
      <x:c r="BZ12" s="519"/>
      <x:c r="CA12" s="519"/>
      <x:c r="CB12" s="519"/>
      <x:c r="CC12" s="519"/>
      <x:c r="CD12" s="519"/>
      <x:c r="CE12" s="519"/>
      <x:c r="CF12" s="519"/>
      <x:c r="CG12" s="519"/>
      <x:c r="CH12" s="519"/>
      <x:c r="CI12" s="519"/>
      <x:c r="CJ12" s="520"/>
      <x:c r="CK12" s="433"/>
      <x:c r="CL12" s="454"/>
      <x:c r="CM12" s="466" t="s">
        <x:v>674</x:v>
      </x:c>
      <x:c r="CN12" s="467">
        <x:f>IFERROR(
IF(INDEX(ACT!O:O, MATCH(CN11,ACT!N:N, 0))="", "-",
INDEX(ACT!O:O, MATCH(CN11,ACT!N:N, 0))), "-"
)</x:f>
      </x:c>
      <x:c r="CO12" s="468"/>
      <x:c r="CP12" s="458"/>
      <x:c r="CQ12" s="451"/>
      <x:c r="CR12" s="459" t="s">
        <x:v>675</x:v>
      </x:c>
      <x:c r="CS12" s="460" t="s">
        <x:v>90</x:v>
      </x:c>
      <x:c r="CT12" s="452"/>
    </x:row>
    <x:row r="13" spans="1:98" ht="17.25" customHeight="1">
      <x:c r="A13" s="504"/>
      <x:c r="B13" s="505"/>
      <x:c r="C13" s="505"/>
      <x:c r="D13" s="506"/>
      <x:c r="E13" s="507">
        <x:v>6</x:v>
      </x:c>
      <x:c r="F13" s="508"/>
      <x:c r="G13" s="445" t="s">
        <x:v>676</x:v>
      </x:c>
      <x:c r="H13" s="446" t="s">
        <x:v>677</x:v>
      </x:c>
      <x:c r="I13" s="446"/>
      <x:c r="J13" s="446"/>
      <x:c r="K13" s="446"/>
      <x:c r="L13" s="446"/>
      <x:c r="M13" s="446"/>
      <x:c r="N13" s="446"/>
      <x:c r="O13" s="446"/>
      <x:c r="P13" s="453"/>
      <x:c r="Q13" s="463" t="s">
        <x:v>666</x:v>
      </x:c>
      <x:c r="R13" s="464"/>
      <x:c r="S13" s="464"/>
      <x:c r="T13" s="464"/>
      <x:c r="U13" s="512"/>
      <x:c r="V13" s="463" t="s">
        <x:v>659</x:v>
      </x:c>
      <x:c r="W13" s="464"/>
      <x:c r="X13" s="464"/>
      <x:c r="Y13" s="464"/>
      <x:c r="Z13" s="464"/>
      <x:c r="AA13" s="464"/>
      <x:c r="AB13" s="464"/>
      <x:c r="AC13" s="512"/>
      <x:c r="AD13" s="463" t="s">
        <x:v>659</x:v>
      </x:c>
      <x:c r="AE13" s="464"/>
      <x:c r="AF13" s="464"/>
      <x:c r="AG13" s="464"/>
      <x:c r="AH13" s="464"/>
      <x:c r="AI13" s="464"/>
      <x:c r="AJ13" s="464"/>
      <x:c r="AK13" s="512"/>
      <x:c r="AL13" s="463" t="s">
        <x:v>659</x:v>
      </x:c>
      <x:c r="AM13" s="464"/>
      <x:c r="AN13" s="464"/>
      <x:c r="AO13" s="464"/>
      <x:c r="AP13" s="464"/>
      <x:c r="AQ13" s="464"/>
      <x:c r="AR13" s="464"/>
      <x:c r="AS13" s="512"/>
      <x:c r="AT13" s="521"/>
      <x:c r="AU13" s="522"/>
      <x:c r="AV13" s="522"/>
      <x:c r="AW13" s="523"/>
      <x:c r="AX13" s="524">
        <x:v>51</x:v>
      </x:c>
      <x:c r="AY13" s="525"/>
      <x:c r="AZ13" s="476" t="s">
        <x:v>678</x:v>
      </x:c>
      <x:c r="BA13" s="477" t="s">
        <x:v>679</x:v>
      </x:c>
      <x:c r="BB13" s="477"/>
      <x:c r="BC13" s="477"/>
      <x:c r="BD13" s="477"/>
      <x:c r="BE13" s="477"/>
      <x:c r="BF13" s="477"/>
      <x:c r="BG13" s="477"/>
      <x:c r="BH13" s="477"/>
      <x:c r="BI13" s="477"/>
      <x:c r="BJ13" s="477"/>
      <x:c r="BK13" s="477"/>
      <x:c r="BL13" s="477"/>
      <x:c r="BM13" s="477"/>
      <x:c r="BN13" s="477"/>
      <x:c r="BO13" s="477"/>
      <x:c r="BP13" s="478"/>
      <x:c r="BQ13" s="526">
        <x:f>IF(CN10="", "-", CN10)</x:f>
      </x:c>
      <x:c r="BR13" s="527"/>
      <x:c r="BS13" s="527"/>
      <x:c r="BT13" s="527"/>
      <x:c r="BU13" s="527"/>
      <x:c r="BV13" s="527"/>
      <x:c r="BW13" s="527"/>
      <x:c r="BX13" s="527"/>
      <x:c r="BY13" s="527"/>
      <x:c r="BZ13" s="527"/>
      <x:c r="CA13" s="527"/>
      <x:c r="CB13" s="527"/>
      <x:c r="CC13" s="527"/>
      <x:c r="CD13" s="527"/>
      <x:c r="CE13" s="527"/>
      <x:c r="CF13" s="527"/>
      <x:c r="CG13" s="527"/>
      <x:c r="CH13" s="527"/>
      <x:c r="CI13" s="527"/>
      <x:c r="CJ13" s="528"/>
      <x:c r="CK13" s="433"/>
      <x:c r="CL13" s="454"/>
      <x:c r="CM13" s="466" t="s">
        <x:v>680</x:v>
      </x:c>
      <x:c r="CN13" s="467">
        <x:f>IFERROR(
IF(INDEX(ACT!P:P, MATCH(CN11,ACT!N:N, 0))="", "-",
INDEX(ACT!P:P, MATCH(CN11,ACT!N:N, 0))), "-"
)</x:f>
      </x:c>
      <x:c r="CO13" s="468"/>
      <x:c r="CP13" s="458"/>
      <x:c r="CQ13" s="451"/>
      <x:c r="CR13" s="469" t="s">
        <x:v>681</x:v>
      </x:c>
      <x:c r="CS13" s="470">
        <x:f>IFERROR(
  IF(INDEX(ACC!R:R, MATCH(CS12, ACC!M:M, 0)) = "",
     "-",
     INDEX(ACC!R:R, MATCH(CS12, ACC!M:M, 0))),
  "-"
)</x:f>
      </x:c>
      <x:c r="CT13" s="452"/>
    </x:row>
    <x:row r="14" spans="1:98">
      <x:c r="A14" s="504"/>
      <x:c r="B14" s="505"/>
      <x:c r="C14" s="505"/>
      <x:c r="D14" s="506"/>
      <x:c r="E14" s="507">
        <x:v>7</x:v>
      </x:c>
      <x:c r="F14" s="508"/>
      <x:c r="G14" s="445" t="s">
        <x:v>682</x:v>
      </x:c>
      <x:c r="H14" s="446" t="s">
        <x:v>683</x:v>
      </x:c>
      <x:c r="I14" s="446"/>
      <x:c r="J14" s="446"/>
      <x:c r="K14" s="446"/>
      <x:c r="L14" s="446"/>
      <x:c r="M14" s="446"/>
      <x:c r="N14" s="446"/>
      <x:c r="O14" s="446"/>
      <x:c r="P14" s="453"/>
      <x:c r="Q14" s="463" t="s">
        <x:v>684</x:v>
      </x:c>
      <x:c r="R14" s="464"/>
      <x:c r="S14" s="464"/>
      <x:c r="T14" s="464"/>
      <x:c r="U14" s="512"/>
      <x:c r="V14" s="463" t="s">
        <x:v>659</x:v>
      </x:c>
      <x:c r="W14" s="464"/>
      <x:c r="X14" s="464"/>
      <x:c r="Y14" s="464"/>
      <x:c r="Z14" s="464"/>
      <x:c r="AA14" s="464"/>
      <x:c r="AB14" s="464"/>
      <x:c r="AC14" s="512"/>
      <x:c r="AD14" s="463" t="s">
        <x:v>659</x:v>
      </x:c>
      <x:c r="AE14" s="464"/>
      <x:c r="AF14" s="464"/>
      <x:c r="AG14" s="464"/>
      <x:c r="AH14" s="464"/>
      <x:c r="AI14" s="464"/>
      <x:c r="AJ14" s="464"/>
      <x:c r="AK14" s="512"/>
      <x:c r="AL14" s="463" t="s">
        <x:v>659</x:v>
      </x:c>
      <x:c r="AM14" s="464"/>
      <x:c r="AN14" s="464"/>
      <x:c r="AO14" s="464"/>
      <x:c r="AP14" s="464"/>
      <x:c r="AQ14" s="464"/>
      <x:c r="AR14" s="464"/>
      <x:c r="AS14" s="512"/>
      <x:c r="AT14" s="529" t="s">
        <x:v>685</x:v>
      </x:c>
      <x:c r="AU14" s="530"/>
      <x:c r="AV14" s="530"/>
      <x:c r="AW14" s="531"/>
      <x:c r="AX14" s="532">
        <x:v>52</x:v>
      </x:c>
      <x:c r="AY14" s="533"/>
      <x:c r="AZ14" s="534" t="s">
        <x:v>686</x:v>
      </x:c>
      <x:c r="BA14" s="440" t="s">
        <x:v>687</x:v>
      </x:c>
      <x:c r="BB14" s="440"/>
      <x:c r="BC14" s="440"/>
      <x:c r="BD14" s="440"/>
      <x:c r="BE14" s="440"/>
      <x:c r="BF14" s="440"/>
      <x:c r="BG14" s="440"/>
      <x:c r="BH14" s="440"/>
      <x:c r="BI14" s="440"/>
      <x:c r="BJ14" s="440"/>
      <x:c r="BK14" s="440"/>
      <x:c r="BL14" s="440"/>
      <x:c r="BM14" s="440"/>
      <x:c r="BN14" s="440"/>
      <x:c r="BO14" s="440"/>
      <x:c r="BP14" s="441"/>
      <x:c r="BQ14" s="500">
        <x:f>IF(CN12="", "-", CN12)</x:f>
      </x:c>
      <x:c r="BR14" s="501"/>
      <x:c r="BS14" s="501"/>
      <x:c r="BT14" s="501"/>
      <x:c r="BU14" s="501"/>
      <x:c r="BV14" s="501"/>
      <x:c r="BW14" s="501"/>
      <x:c r="BX14" s="501"/>
      <x:c r="BY14" s="501"/>
      <x:c r="BZ14" s="501"/>
      <x:c r="CA14" s="501"/>
      <x:c r="CB14" s="501"/>
      <x:c r="CC14" s="501"/>
      <x:c r="CD14" s="501"/>
      <x:c r="CE14" s="501"/>
      <x:c r="CF14" s="501"/>
      <x:c r="CG14" s="501"/>
      <x:c r="CH14" s="501"/>
      <x:c r="CI14" s="501"/>
      <x:c r="CJ14" s="502"/>
      <x:c r="CK14" s="433"/>
      <x:c r="CL14" s="454"/>
      <x:c r="CM14" s="466" t="s">
        <x:v>688</x:v>
      </x:c>
      <x:c r="CN14" s="467">
        <x:f>IFERROR(
IF(INDEX(ACT!Q:Q, MATCH(CN11,ACT!N:N, 0))="", "-",
INDEX(ACT!Q:Q, MATCH(CN11,ACT!N:N, 0))), "-"
)</x:f>
      </x:c>
      <x:c r="CO14" s="468"/>
      <x:c r="CP14" s="458"/>
      <x:c r="CQ14" s="451"/>
      <x:c r="CR14" s="469" t="s">
        <x:v>689</x:v>
      </x:c>
      <x:c r="CS14" s="470">
        <x:f>IFERROR(
  IF(INDEX(ACC!Q:Q, MATCH(CS12, ACC!M:M, 0)) = "",
     "-",
     INDEX(ACC!Q:Q, MATCH(CS12, ACC!M:M, 0))),
  "-"
)</x:f>
      </x:c>
      <x:c r="CT14" s="452"/>
    </x:row>
    <x:row r="15" spans="1:98" ht="17.25" customHeight="1">
      <x:c r="A15" s="504"/>
      <x:c r="B15" s="505"/>
      <x:c r="C15" s="505"/>
      <x:c r="D15" s="506"/>
      <x:c r="E15" s="507">
        <x:v>8</x:v>
      </x:c>
      <x:c r="F15" s="508"/>
      <x:c r="G15" s="445" t="s">
        <x:v>690</x:v>
      </x:c>
      <x:c r="H15" s="446" t="s">
        <x:v>691</x:v>
      </x:c>
      <x:c r="I15" s="446"/>
      <x:c r="J15" s="446"/>
      <x:c r="K15" s="446"/>
      <x:c r="L15" s="446"/>
      <x:c r="M15" s="446"/>
      <x:c r="N15" s="446"/>
      <x:c r="O15" s="446"/>
      <x:c r="P15" s="453"/>
      <x:c r="Q15" s="463" t="s">
        <x:v>692</x:v>
      </x:c>
      <x:c r="R15" s="464"/>
      <x:c r="S15" s="464"/>
      <x:c r="T15" s="464"/>
      <x:c r="U15" s="512"/>
      <x:c r="V15" s="463"/>
      <x:c r="W15" s="464"/>
      <x:c r="X15" s="464"/>
      <x:c r="Y15" s="464"/>
      <x:c r="Z15" s="464"/>
      <x:c r="AA15" s="464"/>
      <x:c r="AB15" s="464"/>
      <x:c r="AC15" s="512"/>
      <x:c r="AD15" s="463"/>
      <x:c r="AE15" s="464"/>
      <x:c r="AF15" s="464"/>
      <x:c r="AG15" s="464"/>
      <x:c r="AH15" s="464"/>
      <x:c r="AI15" s="464"/>
      <x:c r="AJ15" s="464"/>
      <x:c r="AK15" s="512"/>
      <x:c r="AL15" s="463"/>
      <x:c r="AM15" s="464"/>
      <x:c r="AN15" s="464"/>
      <x:c r="AO15" s="464"/>
      <x:c r="AP15" s="464"/>
      <x:c r="AQ15" s="464"/>
      <x:c r="AR15" s="464"/>
      <x:c r="AS15" s="465"/>
      <x:c r="AT15" s="529"/>
      <x:c r="AU15" s="530"/>
      <x:c r="AV15" s="530"/>
      <x:c r="AW15" s="531"/>
      <x:c r="AX15" s="513">
        <x:v>53</x:v>
      </x:c>
      <x:c r="AY15" s="514"/>
      <x:c r="AZ15" s="535"/>
      <x:c r="BA15" s="446" t="s">
        <x:v>693</x:v>
      </x:c>
      <x:c r="BB15" s="446"/>
      <x:c r="BC15" s="446"/>
      <x:c r="BD15" s="446"/>
      <x:c r="BE15" s="446"/>
      <x:c r="BF15" s="446"/>
      <x:c r="BG15" s="446"/>
      <x:c r="BH15" s="446"/>
      <x:c r="BI15" s="446"/>
      <x:c r="BJ15" s="446"/>
      <x:c r="BK15" s="446"/>
      <x:c r="BL15" s="446"/>
      <x:c r="BM15" s="446"/>
      <x:c r="BN15" s="446"/>
      <x:c r="BO15" s="446"/>
      <x:c r="BP15" s="453"/>
      <x:c r="BQ15" s="536">
        <x:f>IF(CN13="", "-", CN13)</x:f>
      </x:c>
      <x:c r="BR15" s="537"/>
      <x:c r="BS15" s="537"/>
      <x:c r="BT15" s="537"/>
      <x:c r="BU15" s="537"/>
      <x:c r="BV15" s="537"/>
      <x:c r="BW15" s="537"/>
      <x:c r="BX15" s="537"/>
      <x:c r="BY15" s="537"/>
      <x:c r="BZ15" s="537"/>
      <x:c r="CA15" s="537"/>
      <x:c r="CB15" s="537"/>
      <x:c r="CC15" s="537"/>
      <x:c r="CD15" s="537"/>
      <x:c r="CE15" s="537"/>
      <x:c r="CF15" s="537"/>
      <x:c r="CG15" s="537"/>
      <x:c r="CH15" s="537"/>
      <x:c r="CI15" s="537"/>
      <x:c r="CJ15" s="538"/>
      <x:c r="CK15" s="433"/>
      <x:c r="CL15" s="539"/>
      <x:c r="CM15" s="540"/>
      <x:c r="CN15" s="540"/>
      <x:c r="CO15" s="540"/>
      <x:c r="CP15" s="541"/>
      <x:c r="CQ15" s="451"/>
      <x:c r="CR15" s="469" t="s">
        <x:v>694</x:v>
      </x:c>
      <x:c r="CS15" s="470">
        <x:f>IFERROR(
  IF(INDEX(ACC!N:N, MATCH(CS12, ACC!M:M, 0)) = "",
     "-",
     INDEX(ACC!N:N, MATCH(CS12, ACC!M:M, 0))),
  "-"
)</x:f>
      </x:c>
      <x:c r="CT15" s="452"/>
    </x:row>
    <x:row r="16" spans="1:98" ht="17.25" customHeight="1">
      <x:c r="A16" s="504"/>
      <x:c r="B16" s="505"/>
      <x:c r="C16" s="505"/>
      <x:c r="D16" s="506"/>
      <x:c r="E16" s="507">
        <x:v>9</x:v>
      </x:c>
      <x:c r="F16" s="508"/>
      <x:c r="G16" s="515" t="s">
        <x:v>695</x:v>
      </x:c>
      <x:c r="H16" s="446" t="s">
        <x:v>696</x:v>
      </x:c>
      <x:c r="I16" s="446"/>
      <x:c r="J16" s="446"/>
      <x:c r="K16" s="446"/>
      <x:c r="L16" s="446"/>
      <x:c r="M16" s="446"/>
      <x:c r="N16" s="446"/>
      <x:c r="O16" s="446"/>
      <x:c r="P16" s="453"/>
      <x:c r="Q16" s="463" t="s">
        <x:v>697</x:v>
      </x:c>
      <x:c r="R16" s="464"/>
      <x:c r="S16" s="464"/>
      <x:c r="T16" s="464"/>
      <x:c r="U16" s="512"/>
      <x:c r="V16" s="463" t="s">
        <x:v>659</x:v>
      </x:c>
      <x:c r="W16" s="464"/>
      <x:c r="X16" s="464"/>
      <x:c r="Y16" s="464"/>
      <x:c r="Z16" s="464"/>
      <x:c r="AA16" s="464"/>
      <x:c r="AB16" s="464"/>
      <x:c r="AC16" s="512"/>
      <x:c r="AD16" s="463" t="s">
        <x:v>659</x:v>
      </x:c>
      <x:c r="AE16" s="464"/>
      <x:c r="AF16" s="464"/>
      <x:c r="AG16" s="464"/>
      <x:c r="AH16" s="464"/>
      <x:c r="AI16" s="464"/>
      <x:c r="AJ16" s="464"/>
      <x:c r="AK16" s="512"/>
      <x:c r="AL16" s="463" t="s">
        <x:v>659</x:v>
      </x:c>
      <x:c r="AM16" s="464"/>
      <x:c r="AN16" s="464"/>
      <x:c r="AO16" s="464"/>
      <x:c r="AP16" s="464"/>
      <x:c r="AQ16" s="464"/>
      <x:c r="AR16" s="464"/>
      <x:c r="AS16" s="512"/>
      <x:c r="AT16" s="542"/>
      <x:c r="AU16" s="543"/>
      <x:c r="AV16" s="543"/>
      <x:c r="AW16" s="544"/>
      <x:c r="AX16" s="524">
        <x:v>54</x:v>
      </x:c>
      <x:c r="AY16" s="525"/>
      <x:c r="AZ16" s="476" t="s">
        <x:v>698</x:v>
      </x:c>
      <x:c r="BA16" s="477" t="s">
        <x:v>699</x:v>
      </x:c>
      <x:c r="BB16" s="477"/>
      <x:c r="BC16" s="477"/>
      <x:c r="BD16" s="477"/>
      <x:c r="BE16" s="477"/>
      <x:c r="BF16" s="477"/>
      <x:c r="BG16" s="477"/>
      <x:c r="BH16" s="477"/>
      <x:c r="BI16" s="477"/>
      <x:c r="BJ16" s="477"/>
      <x:c r="BK16" s="477"/>
      <x:c r="BL16" s="477"/>
      <x:c r="BM16" s="477"/>
      <x:c r="BN16" s="477"/>
      <x:c r="BO16" s="477"/>
      <x:c r="BP16" s="478"/>
      <x:c r="BQ16" s="536">
        <x:f>IF(CN14="", "-", CN14)</x:f>
      </x:c>
      <x:c r="BR16" s="537"/>
      <x:c r="BS16" s="537"/>
      <x:c r="BT16" s="537"/>
      <x:c r="BU16" s="537"/>
      <x:c r="BV16" s="537"/>
      <x:c r="BW16" s="537"/>
      <x:c r="BX16" s="537"/>
      <x:c r="BY16" s="537"/>
      <x:c r="BZ16" s="537"/>
      <x:c r="CA16" s="537"/>
      <x:c r="CB16" s="537"/>
      <x:c r="CC16" s="537"/>
      <x:c r="CD16" s="537"/>
      <x:c r="CE16" s="537"/>
      <x:c r="CF16" s="537"/>
      <x:c r="CG16" s="537"/>
      <x:c r="CH16" s="537"/>
      <x:c r="CI16" s="537"/>
      <x:c r="CJ16" s="538"/>
      <x:c r="CK16" s="433"/>
      <x:c r="CN16" s="422"/>
      <x:c r="CO16" s="422"/>
      <x:c r="CQ16" s="451"/>
      <x:c r="CR16" s="469" t="s">
        <x:v>700</x:v>
      </x:c>
      <x:c r="CS16" s="503">
        <x:f>IFERROR(
  IF(INDEX(ACC!O:O, MATCH(CS12, ACC!M:M, 0)) = "",
     "-",
     INDEX(ACC!O:O, MATCH(CS12, ACC!M:M, 0))),
  "-"
)</x:f>
      </x:c>
      <x:c r="CT16" s="452"/>
    </x:row>
    <x:row r="17" spans="1:98">
      <x:c r="A17" s="504"/>
      <x:c r="B17" s="505"/>
      <x:c r="C17" s="505"/>
      <x:c r="D17" s="506"/>
      <x:c r="E17" s="507">
        <x:v>10</x:v>
      </x:c>
      <x:c r="F17" s="508"/>
      <x:c r="G17" s="445" t="s">
        <x:v>701</x:v>
      </x:c>
      <x:c r="H17" s="446" t="s">
        <x:v>702</x:v>
      </x:c>
      <x:c r="I17" s="446"/>
      <x:c r="J17" s="446"/>
      <x:c r="K17" s="446"/>
      <x:c r="L17" s="446"/>
      <x:c r="M17" s="446"/>
      <x:c r="N17" s="446"/>
      <x:c r="O17" s="446"/>
      <x:c r="P17" s="453"/>
      <x:c r="Q17" s="463" t="s">
        <x:v>703</x:v>
      </x:c>
      <x:c r="R17" s="464"/>
      <x:c r="S17" s="464"/>
      <x:c r="T17" s="464"/>
      <x:c r="U17" s="512"/>
      <x:c r="V17" s="463" t="s">
        <x:v>659</x:v>
      </x:c>
      <x:c r="W17" s="464"/>
      <x:c r="X17" s="464"/>
      <x:c r="Y17" s="464"/>
      <x:c r="Z17" s="464"/>
      <x:c r="AA17" s="464"/>
      <x:c r="AB17" s="464"/>
      <x:c r="AC17" s="512"/>
      <x:c r="AD17" s="463" t="s">
        <x:v>659</x:v>
      </x:c>
      <x:c r="AE17" s="464"/>
      <x:c r="AF17" s="464"/>
      <x:c r="AG17" s="464"/>
      <x:c r="AH17" s="464"/>
      <x:c r="AI17" s="464"/>
      <x:c r="AJ17" s="464"/>
      <x:c r="AK17" s="512"/>
      <x:c r="AL17" s="463" t="s">
        <x:v>659</x:v>
      </x:c>
      <x:c r="AM17" s="464"/>
      <x:c r="AN17" s="464"/>
      <x:c r="AO17" s="464"/>
      <x:c r="AP17" s="464"/>
      <x:c r="AQ17" s="464"/>
      <x:c r="AR17" s="464"/>
      <x:c r="AS17" s="512"/>
      <x:c r="AT17" s="545" t="s">
        <x:v>704</x:v>
      </x:c>
      <x:c r="AU17" s="546"/>
      <x:c r="AV17" s="546"/>
      <x:c r="AW17" s="547"/>
      <x:c r="AX17" s="532">
        <x:v>55</x:v>
      </x:c>
      <x:c r="AY17" s="533"/>
      <x:c r="AZ17" s="534" t="s">
        <x:v>705</x:v>
      </x:c>
      <x:c r="BA17" s="440" t="s">
        <x:v>706</x:v>
      </x:c>
      <x:c r="BB17" s="440"/>
      <x:c r="BC17" s="440"/>
      <x:c r="BD17" s="440"/>
      <x:c r="BE17" s="440"/>
      <x:c r="BF17" s="440"/>
      <x:c r="BG17" s="440"/>
      <x:c r="BH17" s="440"/>
      <x:c r="BI17" s="440"/>
      <x:c r="BJ17" s="440"/>
      <x:c r="BK17" s="440"/>
      <x:c r="BL17" s="440"/>
      <x:c r="BM17" s="440"/>
      <x:c r="BN17" s="440"/>
      <x:c r="BO17" s="440"/>
      <x:c r="BP17" s="441"/>
      <x:c r="BQ17" s="500">
        <x:f>CS9</x:f>
      </x:c>
      <x:c r="BR17" s="501"/>
      <x:c r="BS17" s="501"/>
      <x:c r="BT17" s="501"/>
      <x:c r="BU17" s="501"/>
      <x:c r="BV17" s="501"/>
      <x:c r="BW17" s="501"/>
      <x:c r="BX17" s="501"/>
      <x:c r="BY17" s="501"/>
      <x:c r="BZ17" s="501"/>
      <x:c r="CA17" s="501"/>
      <x:c r="CB17" s="501"/>
      <x:c r="CC17" s="501"/>
      <x:c r="CD17" s="501"/>
      <x:c r="CE17" s="501"/>
      <x:c r="CF17" s="501"/>
      <x:c r="CG17" s="501"/>
      <x:c r="CH17" s="501"/>
      <x:c r="CI17" s="501"/>
      <x:c r="CJ17" s="502"/>
      <x:c r="CK17" s="433"/>
      <x:c r="CN17" s="422" t="s">
        <x:v>72</x:v>
      </x:c>
      <x:c r="CO17" s="422"/>
      <x:c r="CQ17" s="451"/>
      <x:c r="CR17" s="469" t="s">
        <x:v>707</x:v>
      </x:c>
      <x:c r="CS17" s="503">
        <x:f>IFERROR(
  IF(INDEX(ACC!P:P, MATCH(CS12, ACC!M:M, 0)) = "",
     "-",
     INDEX(ACC!P:P, MATCH(CS12, ACC!M:M, 0))),
  "-"
)</x:f>
      </x:c>
      <x:c r="CT17" s="452"/>
    </x:row>
    <x:row r="18" spans="1:98">
      <x:c r="A18" s="504"/>
      <x:c r="B18" s="505"/>
      <x:c r="C18" s="505"/>
      <x:c r="D18" s="506"/>
      <x:c r="E18" s="507">
        <x:v>11</x:v>
      </x:c>
      <x:c r="F18" s="508"/>
      <x:c r="G18" s="445" t="s">
        <x:v>708</x:v>
      </x:c>
      <x:c r="H18" s="446" t="s">
        <x:v>709</x:v>
      </x:c>
      <x:c r="I18" s="446"/>
      <x:c r="J18" s="446"/>
      <x:c r="K18" s="446"/>
      <x:c r="L18" s="446"/>
      <x:c r="M18" s="446"/>
      <x:c r="N18" s="446"/>
      <x:c r="O18" s="446"/>
      <x:c r="P18" s="453"/>
      <x:c r="Q18" s="463" t="s">
        <x:v>710</x:v>
      </x:c>
      <x:c r="R18" s="464"/>
      <x:c r="S18" s="464"/>
      <x:c r="T18" s="464"/>
      <x:c r="U18" s="512"/>
      <x:c r="V18" s="463"/>
      <x:c r="W18" s="464"/>
      <x:c r="X18" s="464"/>
      <x:c r="Y18" s="464"/>
      <x:c r="Z18" s="464"/>
      <x:c r="AA18" s="464"/>
      <x:c r="AB18" s="464"/>
      <x:c r="AC18" s="512"/>
      <x:c r="AD18" s="463"/>
      <x:c r="AE18" s="464"/>
      <x:c r="AF18" s="464"/>
      <x:c r="AG18" s="464"/>
      <x:c r="AH18" s="464"/>
      <x:c r="AI18" s="464"/>
      <x:c r="AJ18" s="464"/>
      <x:c r="AK18" s="512"/>
      <x:c r="AL18" s="463"/>
      <x:c r="AM18" s="464"/>
      <x:c r="AN18" s="464"/>
      <x:c r="AO18" s="464"/>
      <x:c r="AP18" s="464"/>
      <x:c r="AQ18" s="464"/>
      <x:c r="AR18" s="464"/>
      <x:c r="AS18" s="465"/>
      <x:c r="AT18" s="545"/>
      <x:c r="AU18" s="546"/>
      <x:c r="AV18" s="546"/>
      <x:c r="AW18" s="547"/>
      <x:c r="AX18" s="513">
        <x:v>56</x:v>
      </x:c>
      <x:c r="AY18" s="514"/>
      <x:c r="AZ18" s="445" t="s">
        <x:v>711</x:v>
      </x:c>
      <x:c r="BA18" s="446" t="s">
        <x:v>712</x:v>
      </x:c>
      <x:c r="BB18" s="446"/>
      <x:c r="BC18" s="446"/>
      <x:c r="BD18" s="446"/>
      <x:c r="BE18" s="446"/>
      <x:c r="BF18" s="446"/>
      <x:c r="BG18" s="446"/>
      <x:c r="BH18" s="446"/>
      <x:c r="BI18" s="446"/>
      <x:c r="BJ18" s="446"/>
      <x:c r="BK18" s="446"/>
      <x:c r="BL18" s="446"/>
      <x:c r="BM18" s="446"/>
      <x:c r="BN18" s="446"/>
      <x:c r="BO18" s="446"/>
      <x:c r="BP18" s="453"/>
      <x:c r="BQ18" s="518">
        <x:f>IF(CS7="", "-", CS7)</x:f>
      </x:c>
      <x:c r="BR18" s="519"/>
      <x:c r="BS18" s="519"/>
      <x:c r="BT18" s="519"/>
      <x:c r="BU18" s="519"/>
      <x:c r="BV18" s="519"/>
      <x:c r="BW18" s="519"/>
      <x:c r="BX18" s="519"/>
      <x:c r="BY18" s="519"/>
      <x:c r="BZ18" s="519"/>
      <x:c r="CA18" s="519"/>
      <x:c r="CB18" s="519"/>
      <x:c r="CC18" s="519"/>
      <x:c r="CD18" s="519"/>
      <x:c r="CE18" s="519"/>
      <x:c r="CF18" s="519"/>
      <x:c r="CG18" s="519"/>
      <x:c r="CH18" s="519"/>
      <x:c r="CI18" s="519"/>
      <x:c r="CJ18" s="520"/>
      <x:c r="CK18" s="433"/>
      <x:c r="CN18" s="422" t="s">
        <x:v>43</x:v>
      </x:c>
      <x:c r="CO18" s="422"/>
      <x:c r="CQ18" s="451"/>
      <x:c r="CR18" s="548" t="s">
        <x:v>713</x:v>
      </x:c>
      <x:c r="CS18" s="460" t="s">
        <x:v>627</x:v>
      </x:c>
      <x:c r="CT18" s="452"/>
    </x:row>
    <x:row r="19" spans="1:98">
      <x:c r="A19" s="504"/>
      <x:c r="B19" s="505"/>
      <x:c r="C19" s="505"/>
      <x:c r="D19" s="506"/>
      <x:c r="E19" s="507">
        <x:v>12</x:v>
      </x:c>
      <x:c r="F19" s="508"/>
      <x:c r="G19" s="445" t="s">
        <x:v>714</x:v>
      </x:c>
      <x:c r="H19" s="446" t="s">
        <x:v>715</x:v>
      </x:c>
      <x:c r="I19" s="446"/>
      <x:c r="J19" s="446"/>
      <x:c r="K19" s="446"/>
      <x:c r="L19" s="446"/>
      <x:c r="M19" s="446"/>
      <x:c r="N19" s="446"/>
      <x:c r="O19" s="446"/>
      <x:c r="P19" s="453"/>
      <x:c r="Q19" s="463" t="s">
        <x:v>716</x:v>
      </x:c>
      <x:c r="R19" s="464"/>
      <x:c r="S19" s="464"/>
      <x:c r="T19" s="464"/>
      <x:c r="U19" s="512"/>
      <x:c r="V19" s="463" t="s"/>
      <x:c r="W19" s="464"/>
      <x:c r="X19" s="464"/>
      <x:c r="Y19" s="464"/>
      <x:c r="Z19" s="464"/>
      <x:c r="AA19" s="464"/>
      <x:c r="AB19" s="464"/>
      <x:c r="AC19" s="512"/>
      <x:c r="AD19" s="463" t="s"/>
      <x:c r="AE19" s="464"/>
      <x:c r="AF19" s="464"/>
      <x:c r="AG19" s="464"/>
      <x:c r="AH19" s="464"/>
      <x:c r="AI19" s="464"/>
      <x:c r="AJ19" s="464"/>
      <x:c r="AK19" s="512"/>
      <x:c r="AL19" s="463" t="s"/>
      <x:c r="AM19" s="464"/>
      <x:c r="AN19" s="464"/>
      <x:c r="AO19" s="464"/>
      <x:c r="AP19" s="464"/>
      <x:c r="AQ19" s="464"/>
      <x:c r="AR19" s="464"/>
      <x:c r="AS19" s="512"/>
      <x:c r="AT19" s="545"/>
      <x:c r="AU19" s="546"/>
      <x:c r="AV19" s="546"/>
      <x:c r="AW19" s="547"/>
      <x:c r="AX19" s="513">
        <x:v>57</x:v>
      </x:c>
      <x:c r="AY19" s="514"/>
      <x:c r="AZ19" s="445" t="s">
        <x:v>717</x:v>
      </x:c>
      <x:c r="BA19" s="446" t="s">
        <x:v>718</x:v>
      </x:c>
      <x:c r="BB19" s="446"/>
      <x:c r="BC19" s="446"/>
      <x:c r="BD19" s="446"/>
      <x:c r="BE19" s="446"/>
      <x:c r="BF19" s="446"/>
      <x:c r="BG19" s="446"/>
      <x:c r="BH19" s="446"/>
      <x:c r="BI19" s="446"/>
      <x:c r="BJ19" s="446"/>
      <x:c r="BK19" s="446"/>
      <x:c r="BL19" s="446"/>
      <x:c r="BM19" s="446"/>
      <x:c r="BN19" s="446"/>
      <x:c r="BO19" s="446"/>
      <x:c r="BP19" s="453"/>
      <x:c r="BQ19" s="518">
        <x:f>IF(CS8="", "-", CS8)</x:f>
      </x:c>
      <x:c r="BR19" s="519"/>
      <x:c r="BS19" s="519"/>
      <x:c r="BT19" s="519"/>
      <x:c r="BU19" s="519"/>
      <x:c r="BV19" s="519"/>
      <x:c r="BW19" s="519"/>
      <x:c r="BX19" s="519"/>
      <x:c r="BY19" s="519"/>
      <x:c r="BZ19" s="519"/>
      <x:c r="CA19" s="519"/>
      <x:c r="CB19" s="519"/>
      <x:c r="CC19" s="519"/>
      <x:c r="CD19" s="519"/>
      <x:c r="CE19" s="519"/>
      <x:c r="CF19" s="519"/>
      <x:c r="CG19" s="519"/>
      <x:c r="CH19" s="519"/>
      <x:c r="CI19" s="519"/>
      <x:c r="CJ19" s="520"/>
      <x:c r="CK19" s="433"/>
      <x:c r="CQ19" s="451"/>
      <x:c r="CR19" s="469" t="s">
        <x:v>719</x:v>
      </x:c>
      <x:c r="CS19" s="470">
        <x:f>IFERROR(
  IF(INDEX(ACC!X:X, MATCH(CS18, ACC!S:S, 0)) = "",
     "-",
     INDEX(ACC!X:X, MATCH(CS18, ACC!S:S, 0))),
  "-"
)</x:f>
      </x:c>
      <x:c r="CT19" s="452"/>
    </x:row>
    <x:row r="20" spans="1:98" ht="17.25" customHeight="1">
      <x:c r="A20" s="504"/>
      <x:c r="B20" s="505"/>
      <x:c r="C20" s="505"/>
      <x:c r="D20" s="506"/>
      <x:c r="E20" s="507">
        <x:v>13</x:v>
      </x:c>
      <x:c r="F20" s="508"/>
      <x:c r="G20" s="445" t="s">
        <x:v>720</x:v>
      </x:c>
      <x:c r="H20" s="446" t="s">
        <x:v>721</x:v>
      </x:c>
      <x:c r="I20" s="446"/>
      <x:c r="J20" s="446"/>
      <x:c r="K20" s="446"/>
      <x:c r="L20" s="446"/>
      <x:c r="M20" s="446"/>
      <x:c r="N20" s="446"/>
      <x:c r="O20" s="446"/>
      <x:c r="P20" s="453"/>
      <x:c r="Q20" s="549" t="s"/>
      <x:c r="R20" s="550"/>
      <x:c r="S20" s="550"/>
      <x:c r="T20" s="550"/>
      <x:c r="U20" s="551"/>
      <x:c r="V20" s="463" t="s"/>
      <x:c r="W20" s="464"/>
      <x:c r="X20" s="464"/>
      <x:c r="Y20" s="464"/>
      <x:c r="Z20" s="464"/>
      <x:c r="AA20" s="464"/>
      <x:c r="AB20" s="464"/>
      <x:c r="AC20" s="512"/>
      <x:c r="AD20" s="463" t="s"/>
      <x:c r="AE20" s="464"/>
      <x:c r="AF20" s="464"/>
      <x:c r="AG20" s="464"/>
      <x:c r="AH20" s="464"/>
      <x:c r="AI20" s="464"/>
      <x:c r="AJ20" s="464"/>
      <x:c r="AK20" s="512"/>
      <x:c r="AL20" s="463" t="s"/>
      <x:c r="AM20" s="464"/>
      <x:c r="AN20" s="464"/>
      <x:c r="AO20" s="464"/>
      <x:c r="AP20" s="464"/>
      <x:c r="AQ20" s="464"/>
      <x:c r="AR20" s="464"/>
      <x:c r="AS20" s="512"/>
      <x:c r="AT20" s="552"/>
      <x:c r="AU20" s="553"/>
      <x:c r="AV20" s="553"/>
      <x:c r="AW20" s="554"/>
      <x:c r="AX20" s="524">
        <x:v>58</x:v>
      </x:c>
      <x:c r="AY20" s="525"/>
      <x:c r="AZ20" s="476" t="s">
        <x:v>722</x:v>
      </x:c>
      <x:c r="BA20" s="477" t="s">
        <x:v>723</x:v>
      </x:c>
      <x:c r="BB20" s="477"/>
      <x:c r="BC20" s="477"/>
      <x:c r="BD20" s="477"/>
      <x:c r="BE20" s="477"/>
      <x:c r="BF20" s="477"/>
      <x:c r="BG20" s="477"/>
      <x:c r="BH20" s="555" t="s">
        <x:v>724</x:v>
      </x:c>
      <x:c r="BI20" s="477" t="s">
        <x:v>725</x:v>
      </x:c>
      <x:c r="BJ20" s="477"/>
      <x:c r="BK20" s="477"/>
      <x:c r="BL20" s="477"/>
      <x:c r="BM20" s="477"/>
      <x:c r="BN20" s="477"/>
      <x:c r="BO20" s="477"/>
      <x:c r="BP20" s="478"/>
      <x:c r="BQ20" s="463">
        <x:f>IF(CS6="", "-", CS6)</x:f>
      </x:c>
      <x:c r="BR20" s="464"/>
      <x:c r="BS20" s="464"/>
      <x:c r="BT20" s="464"/>
      <x:c r="BU20" s="464"/>
      <x:c r="BV20" s="464"/>
      <x:c r="BW20" s="464"/>
      <x:c r="BX20" s="464"/>
      <x:c r="BY20" s="464"/>
      <x:c r="BZ20" s="512"/>
      <x:c r="CA20" s="463">
        <x:f>IF(CS5="", "-", CS5)</x:f>
      </x:c>
      <x:c r="CB20" s="464"/>
      <x:c r="CC20" s="464"/>
      <x:c r="CD20" s="464"/>
      <x:c r="CE20" s="464"/>
      <x:c r="CF20" s="464"/>
      <x:c r="CG20" s="464"/>
      <x:c r="CH20" s="464"/>
      <x:c r="CI20" s="464"/>
      <x:c r="CJ20" s="465"/>
      <x:c r="CK20" s="433"/>
      <x:c r="CQ20" s="451"/>
      <x:c r="CR20" s="469" t="s">
        <x:v>726</x:v>
      </x:c>
      <x:c r="CS20" s="470">
        <x:f>IFERROR(
  IF(INDEX(ACC!W:W, MATCH(CS18, ACC!S:S, 0)) = "",
     "-",
     INDEX(ACC!W:W, MATCH(CS18, ACC!S:S, 0))),
  "-"
)</x:f>
      </x:c>
      <x:c r="CT20" s="452"/>
    </x:row>
    <x:row r="21" spans="1:98">
      <x:c r="A21" s="504"/>
      <x:c r="B21" s="505"/>
      <x:c r="C21" s="505"/>
      <x:c r="D21" s="506"/>
      <x:c r="E21" s="507">
        <x:v>14</x:v>
      </x:c>
      <x:c r="F21" s="508"/>
      <x:c r="G21" s="445" t="s">
        <x:v>727</x:v>
      </x:c>
      <x:c r="H21" s="446" t="s">
        <x:v>728</x:v>
      </x:c>
      <x:c r="I21" s="446"/>
      <x:c r="J21" s="446"/>
      <x:c r="K21" s="446"/>
      <x:c r="L21" s="446"/>
      <x:c r="M21" s="446"/>
      <x:c r="N21" s="446"/>
      <x:c r="O21" s="446"/>
      <x:c r="P21" s="453"/>
      <x:c r="Q21" s="463" t="s">
        <x:v>729</x:v>
      </x:c>
      <x:c r="R21" s="464"/>
      <x:c r="S21" s="464"/>
      <x:c r="T21" s="464"/>
      <x:c r="U21" s="512"/>
      <x:c r="V21" s="463" t="s"/>
      <x:c r="W21" s="464"/>
      <x:c r="X21" s="464"/>
      <x:c r="Y21" s="464"/>
      <x:c r="Z21" s="464"/>
      <x:c r="AA21" s="464"/>
      <x:c r="AB21" s="464"/>
      <x:c r="AC21" s="512"/>
      <x:c r="AD21" s="463" t="s"/>
      <x:c r="AE21" s="464"/>
      <x:c r="AF21" s="464"/>
      <x:c r="AG21" s="464"/>
      <x:c r="AH21" s="464"/>
      <x:c r="AI21" s="464"/>
      <x:c r="AJ21" s="464"/>
      <x:c r="AK21" s="512"/>
      <x:c r="AL21" s="463" t="s"/>
      <x:c r="AM21" s="464"/>
      <x:c r="AN21" s="464"/>
      <x:c r="AO21" s="464"/>
      <x:c r="AP21" s="464"/>
      <x:c r="AQ21" s="464"/>
      <x:c r="AR21" s="464"/>
      <x:c r="AS21" s="512"/>
      <x:c r="AT21" s="556" t="s">
        <x:v>730</x:v>
      </x:c>
      <x:c r="AU21" s="557"/>
      <x:c r="AV21" s="557"/>
      <x:c r="AW21" s="558"/>
      <x:c r="AX21" s="532">
        <x:v>59</x:v>
      </x:c>
      <x:c r="AY21" s="533"/>
      <x:c r="AZ21" s="534" t="s">
        <x:v>731</x:v>
      </x:c>
      <x:c r="BA21" s="440" t="s">
        <x:v>732</x:v>
      </x:c>
      <x:c r="BB21" s="440"/>
      <x:c r="BC21" s="440"/>
      <x:c r="BD21" s="440"/>
      <x:c r="BE21" s="440"/>
      <x:c r="BF21" s="440"/>
      <x:c r="BG21" s="440"/>
      <x:c r="BH21" s="440"/>
      <x:c r="BI21" s="440"/>
      <x:c r="BJ21" s="440"/>
      <x:c r="BK21" s="440"/>
      <x:c r="BL21" s="440"/>
      <x:c r="BM21" s="440"/>
      <x:c r="BN21" s="440"/>
      <x:c r="BO21" s="440"/>
      <x:c r="BP21" s="441"/>
      <x:c r="BQ21" s="500">
        <x:f>IF(CS10="", "-", CS10)</x:f>
      </x:c>
      <x:c r="BR21" s="501"/>
      <x:c r="BS21" s="501"/>
      <x:c r="BT21" s="501"/>
      <x:c r="BU21" s="501"/>
      <x:c r="BV21" s="501"/>
      <x:c r="BW21" s="501"/>
      <x:c r="BX21" s="501"/>
      <x:c r="BY21" s="501"/>
      <x:c r="BZ21" s="501"/>
      <x:c r="CA21" s="501"/>
      <x:c r="CB21" s="501"/>
      <x:c r="CC21" s="501"/>
      <x:c r="CD21" s="501"/>
      <x:c r="CE21" s="501"/>
      <x:c r="CF21" s="501"/>
      <x:c r="CG21" s="501"/>
      <x:c r="CH21" s="501"/>
      <x:c r="CI21" s="501"/>
      <x:c r="CJ21" s="502"/>
      <x:c r="CK21" s="433"/>
      <x:c r="CQ21" s="451"/>
      <x:c r="CR21" s="469" t="s">
        <x:v>733</x:v>
      </x:c>
      <x:c r="CS21" s="470">
        <x:f>IFERROR(
  IF(INDEX(ACC!T:T, MATCH(CS18, ACC!S:S, 0)) = "",
     "-",
     INDEX(ACC!T:T, MATCH(CS18, ACC!S:S, 0))),
  "-"
)</x:f>
      </x:c>
      <x:c r="CT21" s="452"/>
    </x:row>
    <x:row r="22" spans="1:98" ht="17.25" customHeight="1">
      <x:c r="A22" s="504"/>
      <x:c r="B22" s="505"/>
      <x:c r="C22" s="505"/>
      <x:c r="D22" s="506"/>
      <x:c r="E22" s="507">
        <x:v>15</x:v>
      </x:c>
      <x:c r="F22" s="508"/>
      <x:c r="G22" s="445"/>
      <x:c r="H22" s="446"/>
      <x:c r="I22" s="446"/>
      <x:c r="J22" s="446"/>
      <x:c r="K22" s="446"/>
      <x:c r="L22" s="446"/>
      <x:c r="M22" s="446"/>
      <x:c r="N22" s="446"/>
      <x:c r="O22" s="446"/>
      <x:c r="P22" s="453"/>
      <x:c r="Q22" s="463"/>
      <x:c r="R22" s="464"/>
      <x:c r="S22" s="464"/>
      <x:c r="T22" s="464"/>
      <x:c r="U22" s="512"/>
      <x:c r="V22" s="463"/>
      <x:c r="W22" s="464"/>
      <x:c r="X22" s="464"/>
      <x:c r="Y22" s="464"/>
      <x:c r="Z22" s="464"/>
      <x:c r="AA22" s="464"/>
      <x:c r="AB22" s="464"/>
      <x:c r="AC22" s="512"/>
      <x:c r="AD22" s="463"/>
      <x:c r="AE22" s="464"/>
      <x:c r="AF22" s="464"/>
      <x:c r="AG22" s="464"/>
      <x:c r="AH22" s="464"/>
      <x:c r="AI22" s="464"/>
      <x:c r="AJ22" s="464"/>
      <x:c r="AK22" s="512"/>
      <x:c r="AL22" s="463"/>
      <x:c r="AM22" s="464"/>
      <x:c r="AN22" s="464"/>
      <x:c r="AO22" s="464"/>
      <x:c r="AP22" s="464"/>
      <x:c r="AQ22" s="464"/>
      <x:c r="AR22" s="464"/>
      <x:c r="AS22" s="465"/>
      <x:c r="AT22" s="559"/>
      <x:c r="AU22" s="560"/>
      <x:c r="AV22" s="560"/>
      <x:c r="AW22" s="561"/>
      <x:c r="AX22" s="524">
        <x:v>60</x:v>
      </x:c>
      <x:c r="AY22" s="525"/>
      <x:c r="AZ22" s="555" t="s">
        <x:v>734</x:v>
      </x:c>
      <x:c r="BA22" s="477" t="s">
        <x:v>735</x:v>
      </x:c>
      <x:c r="BB22" s="477"/>
      <x:c r="BC22" s="477"/>
      <x:c r="BD22" s="477"/>
      <x:c r="BE22" s="477"/>
      <x:c r="BF22" s="477"/>
      <x:c r="BG22" s="477"/>
      <x:c r="BH22" s="477"/>
      <x:c r="BI22" s="477"/>
      <x:c r="BJ22" s="477"/>
      <x:c r="BK22" s="477"/>
      <x:c r="BL22" s="477"/>
      <x:c r="BM22" s="477"/>
      <x:c r="BN22" s="477"/>
      <x:c r="BO22" s="477"/>
      <x:c r="BP22" s="478"/>
      <x:c r="BQ22" s="518">
        <x:f>IF(CS11="", "-", CS11)</x:f>
      </x:c>
      <x:c r="BR22" s="519"/>
      <x:c r="BS22" s="519"/>
      <x:c r="BT22" s="519"/>
      <x:c r="BU22" s="519"/>
      <x:c r="BV22" s="519"/>
      <x:c r="BW22" s="519"/>
      <x:c r="BX22" s="519"/>
      <x:c r="BY22" s="519"/>
      <x:c r="BZ22" s="519"/>
      <x:c r="CA22" s="519"/>
      <x:c r="CB22" s="519"/>
      <x:c r="CC22" s="519"/>
      <x:c r="CD22" s="519"/>
      <x:c r="CE22" s="519"/>
      <x:c r="CF22" s="519"/>
      <x:c r="CG22" s="519"/>
      <x:c r="CH22" s="519"/>
      <x:c r="CI22" s="519"/>
      <x:c r="CJ22" s="520"/>
      <x:c r="CK22" s="433"/>
      <x:c r="CQ22" s="451"/>
      <x:c r="CR22" s="469" t="s">
        <x:v>736</x:v>
      </x:c>
      <x:c r="CS22" s="503">
        <x:f>IFERROR(
  IF(INDEX(ACC!U:U, MATCH(CS18, ACC!S:S, 0)) = "",
     "-",
     INDEX(ACC!U:U, MATCH(CS18, ACC!S:S, 0))),
  "-"
)</x:f>
      </x:c>
      <x:c r="CT22" s="452"/>
    </x:row>
    <x:row r="23" spans="1:98" ht="17.25" customHeight="1">
      <x:c r="A23" s="521"/>
      <x:c r="B23" s="522"/>
      <x:c r="C23" s="522"/>
      <x:c r="D23" s="523"/>
      <x:c r="E23" s="562">
        <x:v>16</x:v>
      </x:c>
      <x:c r="F23" s="563"/>
      <x:c r="G23" s="476"/>
      <x:c r="H23" s="477"/>
      <x:c r="I23" s="477"/>
      <x:c r="J23" s="477"/>
      <x:c r="K23" s="477"/>
      <x:c r="L23" s="477"/>
      <x:c r="M23" s="477"/>
      <x:c r="N23" s="477"/>
      <x:c r="O23" s="477"/>
      <x:c r="P23" s="478"/>
      <x:c r="Q23" s="481"/>
      <x:c r="R23" s="482"/>
      <x:c r="S23" s="482"/>
      <x:c r="T23" s="482"/>
      <x:c r="U23" s="564"/>
      <x:c r="V23" s="481"/>
      <x:c r="W23" s="482"/>
      <x:c r="X23" s="482"/>
      <x:c r="Y23" s="482"/>
      <x:c r="Z23" s="482"/>
      <x:c r="AA23" s="482"/>
      <x:c r="AB23" s="482"/>
      <x:c r="AC23" s="564"/>
      <x:c r="AD23" s="481"/>
      <x:c r="AE23" s="482"/>
      <x:c r="AF23" s="482"/>
      <x:c r="AG23" s="482"/>
      <x:c r="AH23" s="482"/>
      <x:c r="AI23" s="482"/>
      <x:c r="AJ23" s="482"/>
      <x:c r="AK23" s="564"/>
      <x:c r="AL23" s="481"/>
      <x:c r="AM23" s="482"/>
      <x:c r="AN23" s="482"/>
      <x:c r="AO23" s="482"/>
      <x:c r="AP23" s="482"/>
      <x:c r="AQ23" s="482"/>
      <x:c r="AR23" s="482"/>
      <x:c r="AS23" s="483"/>
      <x:c r="AT23" s="565" t="s">
        <x:v>737</x:v>
      </x:c>
      <x:c r="AU23" s="566"/>
      <x:c r="AV23" s="566"/>
      <x:c r="AW23" s="567"/>
      <x:c r="AX23" s="532">
        <x:v>61</x:v>
      </x:c>
      <x:c r="AY23" s="533"/>
      <x:c r="AZ23" s="534" t="s">
        <x:v>738</x:v>
      </x:c>
      <x:c r="BA23" s="440" t="s">
        <x:v>739</x:v>
      </x:c>
      <x:c r="BB23" s="440"/>
      <x:c r="BC23" s="440"/>
      <x:c r="BD23" s="440"/>
      <x:c r="BE23" s="440"/>
      <x:c r="BF23" s="440"/>
      <x:c r="BG23" s="440"/>
      <x:c r="BH23" s="440"/>
      <x:c r="BI23" s="440"/>
      <x:c r="BJ23" s="440"/>
      <x:c r="BK23" s="440"/>
      <x:c r="BL23" s="440"/>
      <x:c r="BM23" s="440"/>
      <x:c r="BN23" s="440"/>
      <x:c r="BO23" s="440"/>
      <x:c r="BP23" s="441"/>
      <x:c r="BQ23" s="500">
        <x:f>IF(CS27="", "-", CS27)</x:f>
      </x:c>
      <x:c r="BR23" s="501"/>
      <x:c r="BS23" s="501"/>
      <x:c r="BT23" s="501"/>
      <x:c r="BU23" s="501"/>
      <x:c r="BV23" s="501"/>
      <x:c r="BW23" s="501"/>
      <x:c r="BX23" s="501"/>
      <x:c r="BY23" s="501"/>
      <x:c r="BZ23" s="501"/>
      <x:c r="CA23" s="501"/>
      <x:c r="CB23" s="501"/>
      <x:c r="CC23" s="501"/>
      <x:c r="CD23" s="501"/>
      <x:c r="CE23" s="501"/>
      <x:c r="CF23" s="501"/>
      <x:c r="CG23" s="501"/>
      <x:c r="CH23" s="501"/>
      <x:c r="CI23" s="501"/>
      <x:c r="CJ23" s="502"/>
      <x:c r="CK23" s="433"/>
      <x:c r="CQ23" s="451"/>
      <x:c r="CR23" s="469" t="s">
        <x:v>740</x:v>
      </x:c>
      <x:c r="CS23" s="503">
        <x:f>IFERROR(
  IF(INDEX(ACC!V:V, MATCH(CS18, ACC!S:S, 0)) = "",
     "-",
     INDEX(ACC!V:V, MATCH(CS18, ACC!S:S, 0))),
  "-"
)</x:f>
      </x:c>
      <x:c r="CT23" s="452"/>
    </x:row>
    <x:row r="24" spans="1:98" ht="17.25" customHeight="1">
      <x:c r="A24" s="488" t="s">
        <x:v>741</x:v>
      </x:c>
      <x:c r="B24" s="489"/>
      <x:c r="C24" s="489"/>
      <x:c r="D24" s="490"/>
      <x:c r="E24" s="491">
        <x:v>17</x:v>
      </x:c>
      <x:c r="F24" s="568"/>
      <x:c r="G24" s="569" t="s">
        <x:v>742</x:v>
      </x:c>
      <x:c r="H24" s="570" t="s">
        <x:v>743</x:v>
      </x:c>
      <x:c r="I24" s="570"/>
      <x:c r="J24" s="570"/>
      <x:c r="K24" s="570"/>
      <x:c r="L24" s="570"/>
      <x:c r="M24" s="570"/>
      <x:c r="N24" s="570"/>
      <x:c r="O24" s="570"/>
      <x:c r="P24" s="570"/>
      <x:c r="Q24" s="570"/>
      <x:c r="R24" s="570"/>
      <x:c r="S24" s="570"/>
      <x:c r="T24" s="571"/>
      <x:c r="U24" s="572"/>
      <x:c r="V24" s="573"/>
      <x:c r="W24" s="573"/>
      <x:c r="X24" s="574"/>
      <x:c r="Y24" s="575"/>
      <x:c r="Z24" s="576"/>
      <x:c r="AA24" s="576"/>
      <x:c r="AB24" s="576"/>
      <x:c r="AC24" s="576"/>
      <x:c r="AD24" s="576"/>
      <x:c r="AE24" s="576"/>
      <x:c r="AF24" s="576"/>
      <x:c r="AG24" s="576"/>
      <x:c r="AH24" s="576"/>
      <x:c r="AI24" s="576"/>
      <x:c r="AJ24" s="576"/>
      <x:c r="AK24" s="576"/>
      <x:c r="AL24" s="576"/>
      <x:c r="AM24" s="576"/>
      <x:c r="AN24" s="576"/>
      <x:c r="AO24" s="576"/>
      <x:c r="AP24" s="576"/>
      <x:c r="AQ24" s="576"/>
      <x:c r="AR24" s="576"/>
      <x:c r="AS24" s="577"/>
      <x:c r="AT24" s="578"/>
      <x:c r="AU24" s="579"/>
      <x:c r="AV24" s="579"/>
      <x:c r="AW24" s="580"/>
      <x:c r="AX24" s="524">
        <x:v>62</x:v>
      </x:c>
      <x:c r="AY24" s="525"/>
      <x:c r="AZ24" s="476" t="s">
        <x:v>744</x:v>
      </x:c>
      <x:c r="BA24" s="477" t="s">
        <x:v>745</x:v>
      </x:c>
      <x:c r="BB24" s="477"/>
      <x:c r="BC24" s="477"/>
      <x:c r="BD24" s="477"/>
      <x:c r="BE24" s="477"/>
      <x:c r="BF24" s="477"/>
      <x:c r="BG24" s="477"/>
      <x:c r="BH24" s="555" t="s">
        <x:v>746</x:v>
      </x:c>
      <x:c r="BI24" s="477" t="s">
        <x:v>747</x:v>
      </x:c>
      <x:c r="BJ24" s="477"/>
      <x:c r="BK24" s="477"/>
      <x:c r="BL24" s="477"/>
      <x:c r="BM24" s="477"/>
      <x:c r="BN24" s="477"/>
      <x:c r="BO24" s="477"/>
      <x:c r="BP24" s="478"/>
      <x:c r="BQ24" s="463">
        <x:f>IF(CS26="", "-", CS26)</x:f>
      </x:c>
      <x:c r="BR24" s="464"/>
      <x:c r="BS24" s="464"/>
      <x:c r="BT24" s="464"/>
      <x:c r="BU24" s="464"/>
      <x:c r="BV24" s="464"/>
      <x:c r="BW24" s="464"/>
      <x:c r="BX24" s="464"/>
      <x:c r="BY24" s="464"/>
      <x:c r="BZ24" s="512"/>
      <x:c r="CA24" s="463">
        <x:f>IF(CS25="", "-", CS25)</x:f>
      </x:c>
      <x:c r="CB24" s="464"/>
      <x:c r="CC24" s="464"/>
      <x:c r="CD24" s="464"/>
      <x:c r="CE24" s="464"/>
      <x:c r="CF24" s="464"/>
      <x:c r="CG24" s="464"/>
      <x:c r="CH24" s="464"/>
      <x:c r="CI24" s="464"/>
      <x:c r="CJ24" s="465"/>
      <x:c r="CK24" s="433"/>
      <x:c r="CQ24" s="451"/>
      <x:c r="CR24" s="548" t="s">
        <x:v>748</x:v>
      </x:c>
      <x:c r="CS24" s="460" t="s">
        <x:v>749</x:v>
      </x:c>
      <x:c r="CT24" s="452"/>
    </x:row>
    <x:row r="25" spans="1:98">
      <x:c r="A25" s="504"/>
      <x:c r="B25" s="505"/>
      <x:c r="C25" s="505"/>
      <x:c r="D25" s="506"/>
      <x:c r="E25" s="507">
        <x:v>18</x:v>
      </x:c>
      <x:c r="F25" s="581"/>
      <x:c r="G25" s="582"/>
      <x:c r="H25" s="583" t="s">
        <x:v>750</x:v>
      </x:c>
      <x:c r="I25" s="583"/>
      <x:c r="J25" s="583"/>
      <x:c r="K25" s="583"/>
      <x:c r="L25" s="583"/>
      <x:c r="M25" s="583"/>
      <x:c r="N25" s="583"/>
      <x:c r="O25" s="583"/>
      <x:c r="P25" s="584"/>
      <x:c r="Q25" s="585"/>
      <x:c r="R25" s="586" t="s">
        <x:v>751</x:v>
      </x:c>
      <x:c r="S25" s="586"/>
      <x:c r="T25" s="587"/>
      <x:c r="U25" s="588"/>
      <x:c r="V25" s="589"/>
      <x:c r="W25" s="589"/>
      <x:c r="X25" s="590"/>
      <x:c r="Y25" s="591"/>
      <x:c r="Z25" s="592"/>
      <x:c r="AA25" s="592"/>
      <x:c r="AB25" s="592"/>
      <x:c r="AC25" s="592"/>
      <x:c r="AD25" s="592"/>
      <x:c r="AE25" s="592"/>
      <x:c r="AF25" s="592"/>
      <x:c r="AG25" s="592"/>
      <x:c r="AH25" s="592"/>
      <x:c r="AI25" s="592"/>
      <x:c r="AJ25" s="592"/>
      <x:c r="AK25" s="592"/>
      <x:c r="AL25" s="592"/>
      <x:c r="AM25" s="592"/>
      <x:c r="AN25" s="592"/>
      <x:c r="AO25" s="592"/>
      <x:c r="AP25" s="592"/>
      <x:c r="AQ25" s="592"/>
      <x:c r="AR25" s="592"/>
      <x:c r="AS25" s="593"/>
      <x:c r="AT25" s="545" t="s">
        <x:v>752</x:v>
      </x:c>
      <x:c r="AU25" s="546"/>
      <x:c r="AV25" s="546"/>
      <x:c r="AW25" s="547"/>
      <x:c r="AX25" s="532">
        <x:v>63</x:v>
      </x:c>
      <x:c r="AY25" s="533"/>
      <x:c r="AZ25" s="534" t="s">
        <x:v>753</x:v>
      </x:c>
      <x:c r="BA25" s="440" t="s">
        <x:v>754</x:v>
      </x:c>
      <x:c r="BB25" s="440"/>
      <x:c r="BC25" s="440"/>
      <x:c r="BD25" s="440"/>
      <x:c r="BE25" s="440"/>
      <x:c r="BF25" s="440"/>
      <x:c r="BG25" s="440"/>
      <x:c r="BH25" s="440"/>
      <x:c r="BI25" s="440"/>
      <x:c r="BJ25" s="440"/>
      <x:c r="BK25" s="440"/>
      <x:c r="BL25" s="440"/>
      <x:c r="BM25" s="440"/>
      <x:c r="BN25" s="440"/>
      <x:c r="BO25" s="440"/>
      <x:c r="BP25" s="441"/>
      <x:c r="BQ25" s="500">
        <x:f>IF(CS15="", "-", CS15)</x:f>
      </x:c>
      <x:c r="BR25" s="501"/>
      <x:c r="BS25" s="501"/>
      <x:c r="BT25" s="501"/>
      <x:c r="BU25" s="501"/>
      <x:c r="BV25" s="501"/>
      <x:c r="BW25" s="501"/>
      <x:c r="BX25" s="501"/>
      <x:c r="BY25" s="501"/>
      <x:c r="BZ25" s="501"/>
      <x:c r="CA25" s="501"/>
      <x:c r="CB25" s="501"/>
      <x:c r="CC25" s="501"/>
      <x:c r="CD25" s="501"/>
      <x:c r="CE25" s="501"/>
      <x:c r="CF25" s="501"/>
      <x:c r="CG25" s="501"/>
      <x:c r="CH25" s="501"/>
      <x:c r="CI25" s="501"/>
      <x:c r="CJ25" s="502"/>
      <x:c r="CK25" s="433"/>
      <x:c r="CQ25" s="451"/>
      <x:c r="CR25" s="469" t="s">
        <x:v>755</x:v>
      </x:c>
      <x:c r="CS25" s="470">
        <x:f>IFERROR(
  IF(INDEX(ACC!L:L, MATCH(CS24, ACC!I:I, 0)) = "",
     "-",
     INDEX(ACC!L:L, MATCH(CS24, ACC!I:I, 0))),
  "-"
)</x:f>
      </x:c>
      <x:c r="CT25" s="452"/>
    </x:row>
    <x:row r="26" spans="1:98" ht="16.5" customHeight="1">
      <x:c r="A26" s="504"/>
      <x:c r="B26" s="505"/>
      <x:c r="C26" s="505"/>
      <x:c r="D26" s="506"/>
      <x:c r="E26" s="507">
        <x:v>19</x:v>
      </x:c>
      <x:c r="F26" s="581"/>
      <x:c r="G26" s="594" t="s">
        <x:v>756</x:v>
      </x:c>
      <x:c r="H26" s="595"/>
      <x:c r="I26" s="595"/>
      <x:c r="J26" s="595"/>
      <x:c r="K26" s="595"/>
      <x:c r="L26" s="595"/>
      <x:c r="M26" s="595"/>
      <x:c r="N26" s="595"/>
      <x:c r="O26" s="595"/>
      <x:c r="P26" s="596"/>
      <x:c r="Q26" s="585"/>
      <x:c r="R26" s="586" t="s">
        <x:v>757</x:v>
      </x:c>
      <x:c r="S26" s="586"/>
      <x:c r="T26" s="587"/>
      <x:c r="U26" s="588"/>
      <x:c r="V26" s="589"/>
      <x:c r="W26" s="589"/>
      <x:c r="X26" s="590"/>
      <x:c r="Y26" s="591"/>
      <x:c r="Z26" s="592"/>
      <x:c r="AA26" s="592"/>
      <x:c r="AB26" s="592"/>
      <x:c r="AC26" s="592"/>
      <x:c r="AD26" s="592"/>
      <x:c r="AE26" s="592"/>
      <x:c r="AF26" s="592"/>
      <x:c r="AG26" s="592"/>
      <x:c r="AH26" s="592"/>
      <x:c r="AI26" s="592"/>
      <x:c r="AJ26" s="592"/>
      <x:c r="AK26" s="592"/>
      <x:c r="AL26" s="592"/>
      <x:c r="AM26" s="592"/>
      <x:c r="AN26" s="592"/>
      <x:c r="AO26" s="592"/>
      <x:c r="AP26" s="592"/>
      <x:c r="AQ26" s="592"/>
      <x:c r="AR26" s="592"/>
      <x:c r="AS26" s="593"/>
      <x:c r="AT26" s="545"/>
      <x:c r="AU26" s="546"/>
      <x:c r="AV26" s="546"/>
      <x:c r="AW26" s="547"/>
      <x:c r="AX26" s="513">
        <x:v>64</x:v>
      </x:c>
      <x:c r="AY26" s="514"/>
      <x:c r="AZ26" s="445" t="s">
        <x:v>758</x:v>
      </x:c>
      <x:c r="BA26" s="446" t="s">
        <x:v>759</x:v>
      </x:c>
      <x:c r="BB26" s="446"/>
      <x:c r="BC26" s="446"/>
      <x:c r="BD26" s="446"/>
      <x:c r="BE26" s="446"/>
      <x:c r="BF26" s="446"/>
      <x:c r="BG26" s="446"/>
      <x:c r="BH26" s="446"/>
      <x:c r="BI26" s="446"/>
      <x:c r="BJ26" s="446"/>
      <x:c r="BK26" s="446"/>
      <x:c r="BL26" s="446"/>
      <x:c r="BM26" s="446"/>
      <x:c r="BN26" s="446"/>
      <x:c r="BO26" s="446"/>
      <x:c r="BP26" s="453"/>
      <x:c r="BQ26" s="518">
        <x:f>IF(CS16="", "-", CS16)</x:f>
      </x:c>
      <x:c r="BR26" s="519"/>
      <x:c r="BS26" s="519"/>
      <x:c r="BT26" s="519"/>
      <x:c r="BU26" s="519"/>
      <x:c r="BV26" s="519"/>
      <x:c r="BW26" s="519"/>
      <x:c r="BX26" s="519"/>
      <x:c r="BY26" s="519"/>
      <x:c r="BZ26" s="519"/>
      <x:c r="CA26" s="519"/>
      <x:c r="CB26" s="519"/>
      <x:c r="CC26" s="519"/>
      <x:c r="CD26" s="519"/>
      <x:c r="CE26" s="519"/>
      <x:c r="CF26" s="519"/>
      <x:c r="CG26" s="519"/>
      <x:c r="CH26" s="519"/>
      <x:c r="CI26" s="519"/>
      <x:c r="CJ26" s="520"/>
      <x:c r="CK26" s="433"/>
      <x:c r="CQ26" s="451"/>
      <x:c r="CR26" s="469" t="s">
        <x:v>760</x:v>
      </x:c>
      <x:c r="CS26" s="470">
        <x:f>IFERROR(
  IF(INDEX(ACC!K:K, MATCH(CS24, ACC!I:I, 0)) = "",
     "-",
     INDEX(ACC!K:K, MATCH(CS24, ACC!I:I, 0))),
  "-"
)</x:f>
      </x:c>
      <x:c r="CT26" s="452"/>
    </x:row>
    <x:row r="27" spans="1:98">
      <x:c r="A27" s="504"/>
      <x:c r="B27" s="505"/>
      <x:c r="C27" s="505"/>
      <x:c r="D27" s="506"/>
      <x:c r="E27" s="597">
        <x:v>20</x:v>
      </x:c>
      <x:c r="F27" s="598"/>
      <x:c r="G27" s="594" t="s">
        <x:v>761</x:v>
      </x:c>
      <x:c r="H27" s="595" t="s">
        <x:v>762</x:v>
      </x:c>
      <x:c r="I27" s="595"/>
      <x:c r="J27" s="595"/>
      <x:c r="K27" s="595"/>
      <x:c r="L27" s="595"/>
      <x:c r="M27" s="595"/>
      <x:c r="N27" s="595"/>
      <x:c r="O27" s="595"/>
      <x:c r="P27" s="596"/>
      <x:c r="Q27" s="445"/>
      <x:c r="R27" s="446" t="s">
        <x:v>763</x:v>
      </x:c>
      <x:c r="S27" s="446"/>
      <x:c r="T27" s="446"/>
      <x:c r="U27" s="446"/>
      <x:c r="V27" s="446"/>
      <x:c r="W27" s="446"/>
      <x:c r="X27" s="453"/>
      <x:c r="Y27" s="599"/>
      <x:c r="Z27" s="600"/>
      <x:c r="AA27" s="600"/>
      <x:c r="AB27" s="600"/>
      <x:c r="AC27" s="600"/>
      <x:c r="AD27" s="600"/>
      <x:c r="AE27" s="600"/>
      <x:c r="AF27" s="600"/>
      <x:c r="AG27" s="600"/>
      <x:c r="AH27" s="600"/>
      <x:c r="AI27" s="601"/>
      <x:c r="AJ27" s="602"/>
      <x:c r="AK27" s="603"/>
      <x:c r="AL27" s="603"/>
      <x:c r="AM27" s="603"/>
      <x:c r="AN27" s="603"/>
      <x:c r="AO27" s="603"/>
      <x:c r="AP27" s="603"/>
      <x:c r="AQ27" s="603"/>
      <x:c r="AR27" s="603"/>
      <x:c r="AS27" s="604"/>
      <x:c r="AT27" s="545"/>
      <x:c r="AU27" s="546"/>
      <x:c r="AV27" s="546"/>
      <x:c r="AW27" s="547"/>
      <x:c r="AX27" s="513">
        <x:v>65</x:v>
      </x:c>
      <x:c r="AY27" s="514"/>
      <x:c r="AZ27" s="445" t="s">
        <x:v>764</x:v>
      </x:c>
      <x:c r="BA27" s="446" t="s">
        <x:v>765</x:v>
      </x:c>
      <x:c r="BB27" s="446"/>
      <x:c r="BC27" s="446"/>
      <x:c r="BD27" s="446"/>
      <x:c r="BE27" s="446"/>
      <x:c r="BF27" s="446"/>
      <x:c r="BG27" s="446"/>
      <x:c r="BH27" s="446"/>
      <x:c r="BI27" s="446"/>
      <x:c r="BJ27" s="446"/>
      <x:c r="BK27" s="446"/>
      <x:c r="BL27" s="446"/>
      <x:c r="BM27" s="446"/>
      <x:c r="BN27" s="446"/>
      <x:c r="BO27" s="446"/>
      <x:c r="BP27" s="453"/>
      <x:c r="BQ27" s="518">
        <x:f>IF(CS17="", "-", CS17)</x:f>
      </x:c>
      <x:c r="BR27" s="519"/>
      <x:c r="BS27" s="519"/>
      <x:c r="BT27" s="519"/>
      <x:c r="BU27" s="519"/>
      <x:c r="BV27" s="519"/>
      <x:c r="BW27" s="519"/>
      <x:c r="BX27" s="519"/>
      <x:c r="BY27" s="519"/>
      <x:c r="BZ27" s="519"/>
      <x:c r="CA27" s="519"/>
      <x:c r="CB27" s="519"/>
      <x:c r="CC27" s="519"/>
      <x:c r="CD27" s="519"/>
      <x:c r="CE27" s="519"/>
      <x:c r="CF27" s="519"/>
      <x:c r="CG27" s="519"/>
      <x:c r="CH27" s="519"/>
      <x:c r="CI27" s="519"/>
      <x:c r="CJ27" s="520"/>
      <x:c r="CK27" s="433"/>
      <x:c r="CQ27" s="451"/>
      <x:c r="CR27" s="469" t="s">
        <x:v>766</x:v>
      </x:c>
      <x:c r="CS27" s="470">
        <x:f>IFERROR(
  IF(INDEX(ACC!J:J, MATCH(CS24, ACC!I:I, 0)) = "",
     "-",
     INDEX(ACC!J:J, MATCH(CS24, ACC!I:I, 0))),
  "-"
)</x:f>
      </x:c>
      <x:c r="CT27" s="452"/>
    </x:row>
    <x:row r="28" spans="1:98" ht="17.25" customHeight="1">
      <x:c r="A28" s="521"/>
      <x:c r="B28" s="522"/>
      <x:c r="C28" s="522"/>
      <x:c r="D28" s="523"/>
      <x:c r="E28" s="562">
        <x:v>21</x:v>
      </x:c>
      <x:c r="F28" s="605"/>
      <x:c r="G28" s="606"/>
      <x:c r="H28" s="607" t="s">
        <x:v>767</x:v>
      </x:c>
      <x:c r="I28" s="607"/>
      <x:c r="J28" s="607"/>
      <x:c r="K28" s="607"/>
      <x:c r="L28" s="607"/>
      <x:c r="M28" s="607"/>
      <x:c r="N28" s="607"/>
      <x:c r="O28" s="607"/>
      <x:c r="P28" s="608"/>
      <x:c r="Q28" s="476"/>
      <x:c r="R28" s="477" t="s">
        <x:v>763</x:v>
      </x:c>
      <x:c r="S28" s="477"/>
      <x:c r="T28" s="477"/>
      <x:c r="U28" s="477"/>
      <x:c r="V28" s="477"/>
      <x:c r="W28" s="477"/>
      <x:c r="X28" s="478"/>
      <x:c r="Y28" s="481"/>
      <x:c r="Z28" s="482"/>
      <x:c r="AA28" s="482"/>
      <x:c r="AB28" s="482"/>
      <x:c r="AC28" s="482"/>
      <x:c r="AD28" s="482"/>
      <x:c r="AE28" s="482"/>
      <x:c r="AF28" s="482"/>
      <x:c r="AG28" s="482"/>
      <x:c r="AH28" s="482"/>
      <x:c r="AI28" s="564"/>
      <x:c r="AJ28" s="609"/>
      <x:c r="AK28" s="610"/>
      <x:c r="AL28" s="610"/>
      <x:c r="AM28" s="610"/>
      <x:c r="AN28" s="610"/>
      <x:c r="AO28" s="610"/>
      <x:c r="AP28" s="610"/>
      <x:c r="AQ28" s="610"/>
      <x:c r="AR28" s="610"/>
      <x:c r="AS28" s="611"/>
      <x:c r="AT28" s="545"/>
      <x:c r="AU28" s="546"/>
      <x:c r="AV28" s="546"/>
      <x:c r="AW28" s="547"/>
      <x:c r="AX28" s="612">
        <x:v>66</x:v>
      </x:c>
      <x:c r="AY28" s="613"/>
      <x:c r="AZ28" s="614" t="s">
        <x:v>768</x:v>
      </x:c>
      <x:c r="BA28" s="615" t="s">
        <x:v>769</x:v>
      </x:c>
      <x:c r="BB28" s="615"/>
      <x:c r="BC28" s="615"/>
      <x:c r="BD28" s="615"/>
      <x:c r="BE28" s="615"/>
      <x:c r="BF28" s="615"/>
      <x:c r="BG28" s="615"/>
      <x:c r="BH28" s="616" t="s">
        <x:v>770</x:v>
      </x:c>
      <x:c r="BI28" s="615" t="s">
        <x:v>771</x:v>
      </x:c>
      <x:c r="BJ28" s="615"/>
      <x:c r="BK28" s="615"/>
      <x:c r="BL28" s="615"/>
      <x:c r="BM28" s="615"/>
      <x:c r="BN28" s="615"/>
      <x:c r="BO28" s="615"/>
      <x:c r="BP28" s="617"/>
      <x:c r="BQ28" s="618">
        <x:f>IF(CS14="", "-", CS14)</x:f>
      </x:c>
      <x:c r="BR28" s="619"/>
      <x:c r="BS28" s="619"/>
      <x:c r="BT28" s="619"/>
      <x:c r="BU28" s="619"/>
      <x:c r="BV28" s="619"/>
      <x:c r="BW28" s="619"/>
      <x:c r="BX28" s="619"/>
      <x:c r="BY28" s="619"/>
      <x:c r="BZ28" s="620"/>
      <x:c r="CA28" s="618">
        <x:f>IF(CS13="", "-", CS13)</x:f>
      </x:c>
      <x:c r="CB28" s="619"/>
      <x:c r="CC28" s="619"/>
      <x:c r="CD28" s="619"/>
      <x:c r="CE28" s="619"/>
      <x:c r="CF28" s="619"/>
      <x:c r="CG28" s="619"/>
      <x:c r="CH28" s="619"/>
      <x:c r="CI28" s="619"/>
      <x:c r="CJ28" s="621"/>
      <x:c r="CK28" s="433"/>
      <x:c r="CQ28" s="451"/>
      <x:c r="CR28" s="548" t="s">
        <x:v>283</x:v>
      </x:c>
      <x:c r="CS28" s="460" t="s"/>
      <x:c r="CT28" s="452"/>
    </x:row>
    <x:row r="29" spans="1:98">
      <x:c r="A29" s="488" t="s">
        <x:v>772</x:v>
      </x:c>
      <x:c r="B29" s="489"/>
      <x:c r="C29" s="489"/>
      <x:c r="D29" s="490"/>
      <x:c r="E29" s="491">
        <x:v>22</x:v>
      </x:c>
      <x:c r="F29" s="568"/>
      <x:c r="G29" s="442" t="s">
        <x:v>773</x:v>
      </x:c>
      <x:c r="H29" s="443" t="s">
        <x:v>774</x:v>
      </x:c>
      <x:c r="I29" s="443"/>
      <x:c r="J29" s="443"/>
      <x:c r="K29" s="443"/>
      <x:c r="L29" s="443"/>
      <x:c r="M29" s="443"/>
      <x:c r="N29" s="443"/>
      <x:c r="O29" s="443"/>
      <x:c r="P29" s="622"/>
      <x:c r="Q29" s="622"/>
      <x:c r="R29" s="622"/>
      <x:c r="S29" s="622"/>
      <x:c r="T29" s="622"/>
      <x:c r="U29" s="622"/>
      <x:c r="V29" s="622"/>
      <x:c r="W29" s="622"/>
      <x:c r="X29" s="623"/>
      <x:c r="Y29" s="500" t="s">
        <x:v>775</x:v>
      </x:c>
      <x:c r="Z29" s="501"/>
      <x:c r="AA29" s="501"/>
      <x:c r="AB29" s="501"/>
      <x:c r="AC29" s="501"/>
      <x:c r="AD29" s="501"/>
      <x:c r="AE29" s="501"/>
      <x:c r="AF29" s="501"/>
      <x:c r="AG29" s="501"/>
      <x:c r="AH29" s="501"/>
      <x:c r="AI29" s="501"/>
      <x:c r="AJ29" s="501"/>
      <x:c r="AK29" s="501"/>
      <x:c r="AL29" s="501"/>
      <x:c r="AM29" s="501"/>
      <x:c r="AN29" s="501"/>
      <x:c r="AO29" s="501"/>
      <x:c r="AP29" s="501"/>
      <x:c r="AQ29" s="501"/>
      <x:c r="AR29" s="501"/>
      <x:c r="AS29" s="502"/>
      <x:c r="AT29" s="624" t="s">
        <x:v>776</x:v>
      </x:c>
      <x:c r="AU29" s="625"/>
      <x:c r="AV29" s="625"/>
      <x:c r="AW29" s="626"/>
      <x:c r="AX29" s="497">
        <x:v>67</x:v>
      </x:c>
      <x:c r="AY29" s="498"/>
      <x:c r="AZ29" s="442" t="s">
        <x:v>777</x:v>
      </x:c>
      <x:c r="BA29" s="443" t="s">
        <x:v>778</x:v>
      </x:c>
      <x:c r="BB29" s="443"/>
      <x:c r="BC29" s="443"/>
      <x:c r="BD29" s="443"/>
      <x:c r="BE29" s="443"/>
      <x:c r="BF29" s="443"/>
      <x:c r="BG29" s="443"/>
      <x:c r="BH29" s="443"/>
      <x:c r="BI29" s="443"/>
      <x:c r="BJ29" s="443"/>
      <x:c r="BK29" s="443"/>
      <x:c r="BL29" s="443"/>
      <x:c r="BM29" s="443"/>
      <x:c r="BN29" s="443"/>
      <x:c r="BO29" s="443"/>
      <x:c r="BP29" s="499"/>
      <x:c r="BQ29" s="500">
        <x:f>CS21</x:f>
      </x:c>
      <x:c r="BR29" s="501"/>
      <x:c r="BS29" s="501"/>
      <x:c r="BT29" s="501"/>
      <x:c r="BU29" s="501"/>
      <x:c r="BV29" s="501"/>
      <x:c r="BW29" s="501"/>
      <x:c r="BX29" s="501"/>
      <x:c r="BY29" s="501"/>
      <x:c r="BZ29" s="501"/>
      <x:c r="CA29" s="501"/>
      <x:c r="CB29" s="501"/>
      <x:c r="CC29" s="501"/>
      <x:c r="CD29" s="501"/>
      <x:c r="CE29" s="501"/>
      <x:c r="CF29" s="501"/>
      <x:c r="CG29" s="501"/>
      <x:c r="CH29" s="501"/>
      <x:c r="CI29" s="501"/>
      <x:c r="CJ29" s="502"/>
      <x:c r="CK29" s="433"/>
      <x:c r="CQ29" s="451"/>
      <x:c r="CR29" s="469" t="s">
        <x:v>779</x:v>
      </x:c>
      <x:c r="CS29" s="470">
        <x:f>IFERROR(
  IF(INDEX(ACC!AH:AH, MATCH(CS28, ACC!AG:AG, 0)) = "",
     "-",
     INDEX(ACC!AH:AH, MATCH(CS28, ACC!AG:AG, 0))),
  "-"
)</x:f>
      </x:c>
      <x:c r="CT29" s="452"/>
    </x:row>
    <x:row r="30" spans="1:98">
      <x:c r="A30" s="504"/>
      <x:c r="B30" s="505"/>
      <x:c r="C30" s="505"/>
      <x:c r="D30" s="506"/>
      <x:c r="E30" s="507">
        <x:v>23</x:v>
      </x:c>
      <x:c r="F30" s="581"/>
      <x:c r="G30" s="445" t="s">
        <x:v>780</x:v>
      </x:c>
      <x:c r="H30" s="446" t="s">
        <x:v>781</x:v>
      </x:c>
      <x:c r="I30" s="446"/>
      <x:c r="J30" s="446"/>
      <x:c r="K30" s="446"/>
      <x:c r="L30" s="446"/>
      <x:c r="M30" s="446"/>
      <x:c r="N30" s="446"/>
      <x:c r="O30" s="446"/>
      <x:c r="P30" s="446"/>
      <x:c r="Q30" s="445"/>
      <x:c r="R30" s="462" t="s">
        <x:v>782</x:v>
      </x:c>
      <x:c r="S30" s="462"/>
      <x:c r="T30" s="462"/>
      <x:c r="U30" s="462"/>
      <x:c r="V30" s="462"/>
      <x:c r="W30" s="462"/>
      <x:c r="X30" s="461"/>
      <x:c r="Y30" s="518" t="s">
        <x:v>783</x:v>
      </x:c>
      <x:c r="Z30" s="519"/>
      <x:c r="AA30" s="519"/>
      <x:c r="AB30" s="519"/>
      <x:c r="AC30" s="519"/>
      <x:c r="AD30" s="519"/>
      <x:c r="AE30" s="519"/>
      <x:c r="AF30" s="519"/>
      <x:c r="AG30" s="519"/>
      <x:c r="AH30" s="519"/>
      <x:c r="AI30" s="627"/>
      <x:c r="AJ30" s="518" t="s">
        <x:v>90</x:v>
      </x:c>
      <x:c r="AK30" s="519"/>
      <x:c r="AL30" s="519"/>
      <x:c r="AM30" s="519"/>
      <x:c r="AN30" s="519"/>
      <x:c r="AO30" s="519"/>
      <x:c r="AP30" s="519"/>
      <x:c r="AQ30" s="519"/>
      <x:c r="AR30" s="519"/>
      <x:c r="AS30" s="520"/>
      <x:c r="AT30" s="545"/>
      <x:c r="AU30" s="546"/>
      <x:c r="AV30" s="546"/>
      <x:c r="AW30" s="547"/>
      <x:c r="AX30" s="513">
        <x:v>68</x:v>
      </x:c>
      <x:c r="AY30" s="514"/>
      <x:c r="AZ30" s="445" t="s">
        <x:v>784</x:v>
      </x:c>
      <x:c r="BA30" s="446" t="s">
        <x:v>785</x:v>
      </x:c>
      <x:c r="BB30" s="446"/>
      <x:c r="BC30" s="446"/>
      <x:c r="BD30" s="446"/>
      <x:c r="BE30" s="446"/>
      <x:c r="BF30" s="446"/>
      <x:c r="BG30" s="446"/>
      <x:c r="BH30" s="446"/>
      <x:c r="BI30" s="446"/>
      <x:c r="BJ30" s="446"/>
      <x:c r="BK30" s="446"/>
      <x:c r="BL30" s="446"/>
      <x:c r="BM30" s="446"/>
      <x:c r="BN30" s="446"/>
      <x:c r="BO30" s="446"/>
      <x:c r="BP30" s="453"/>
      <x:c r="BQ30" s="518">
        <x:f>CS22</x:f>
      </x:c>
      <x:c r="BR30" s="519"/>
      <x:c r="BS30" s="519"/>
      <x:c r="BT30" s="519"/>
      <x:c r="BU30" s="519"/>
      <x:c r="BV30" s="519"/>
      <x:c r="BW30" s="519"/>
      <x:c r="BX30" s="519"/>
      <x:c r="BY30" s="519"/>
      <x:c r="BZ30" s="519"/>
      <x:c r="CA30" s="519"/>
      <x:c r="CB30" s="519"/>
      <x:c r="CC30" s="519"/>
      <x:c r="CD30" s="519"/>
      <x:c r="CE30" s="519"/>
      <x:c r="CF30" s="519"/>
      <x:c r="CG30" s="519"/>
      <x:c r="CH30" s="519"/>
      <x:c r="CI30" s="519"/>
      <x:c r="CJ30" s="520"/>
      <x:c r="CK30" s="433"/>
      <x:c r="CQ30" s="451"/>
      <x:c r="CR30" s="548" t="s">
        <x:v>786</x:v>
      </x:c>
      <x:c r="CS30" s="460" t="s"/>
      <x:c r="CT30" s="452"/>
    </x:row>
    <x:row r="31" spans="1:98">
      <x:c r="A31" s="504"/>
      <x:c r="B31" s="505"/>
      <x:c r="C31" s="505"/>
      <x:c r="D31" s="506"/>
      <x:c r="E31" s="507">
        <x:v>24</x:v>
      </x:c>
      <x:c r="F31" s="581"/>
      <x:c r="G31" s="445" t="s">
        <x:v>787</x:v>
      </x:c>
      <x:c r="H31" s="446" t="s">
        <x:v>788</x:v>
      </x:c>
      <x:c r="I31" s="446"/>
      <x:c r="J31" s="446"/>
      <x:c r="K31" s="446"/>
      <x:c r="L31" s="446"/>
      <x:c r="M31" s="446"/>
      <x:c r="N31" s="446"/>
      <x:c r="O31" s="446"/>
      <x:c r="P31" s="446"/>
      <x:c r="Q31" s="446"/>
      <x:c r="R31" s="446"/>
      <x:c r="S31" s="446"/>
      <x:c r="T31" s="446"/>
      <x:c r="U31" s="446"/>
      <x:c r="V31" s="446"/>
      <x:c r="W31" s="446"/>
      <x:c r="X31" s="453"/>
      <x:c r="Y31" s="518" t="s">
        <x:v>789</x:v>
      </x:c>
      <x:c r="Z31" s="519"/>
      <x:c r="AA31" s="519"/>
      <x:c r="AB31" s="519"/>
      <x:c r="AC31" s="519"/>
      <x:c r="AD31" s="519"/>
      <x:c r="AE31" s="519"/>
      <x:c r="AF31" s="519"/>
      <x:c r="AG31" s="519"/>
      <x:c r="AH31" s="519"/>
      <x:c r="AI31" s="519"/>
      <x:c r="AJ31" s="519"/>
      <x:c r="AK31" s="519"/>
      <x:c r="AL31" s="519"/>
      <x:c r="AM31" s="519"/>
      <x:c r="AN31" s="519"/>
      <x:c r="AO31" s="519"/>
      <x:c r="AP31" s="519"/>
      <x:c r="AQ31" s="519"/>
      <x:c r="AR31" s="519"/>
      <x:c r="AS31" s="520"/>
      <x:c r="AT31" s="545"/>
      <x:c r="AU31" s="546"/>
      <x:c r="AV31" s="546"/>
      <x:c r="AW31" s="547"/>
      <x:c r="AX31" s="513">
        <x:v>69</x:v>
      </x:c>
      <x:c r="AY31" s="514"/>
      <x:c r="AZ31" s="445" t="s">
        <x:v>790</x:v>
      </x:c>
      <x:c r="BA31" s="446" t="s">
        <x:v>791</x:v>
      </x:c>
      <x:c r="BB31" s="446"/>
      <x:c r="BC31" s="446"/>
      <x:c r="BD31" s="446"/>
      <x:c r="BE31" s="446"/>
      <x:c r="BF31" s="446"/>
      <x:c r="BG31" s="446"/>
      <x:c r="BH31" s="446"/>
      <x:c r="BI31" s="446"/>
      <x:c r="BJ31" s="446"/>
      <x:c r="BK31" s="446"/>
      <x:c r="BL31" s="446"/>
      <x:c r="BM31" s="446"/>
      <x:c r="BN31" s="446"/>
      <x:c r="BO31" s="446"/>
      <x:c r="BP31" s="453"/>
      <x:c r="BQ31" s="518">
        <x:f>CS23</x:f>
      </x:c>
      <x:c r="BR31" s="519"/>
      <x:c r="BS31" s="519"/>
      <x:c r="BT31" s="519"/>
      <x:c r="BU31" s="519"/>
      <x:c r="BV31" s="519"/>
      <x:c r="BW31" s="519"/>
      <x:c r="BX31" s="519"/>
      <x:c r="BY31" s="519"/>
      <x:c r="BZ31" s="519"/>
      <x:c r="CA31" s="519"/>
      <x:c r="CB31" s="519"/>
      <x:c r="CC31" s="519"/>
      <x:c r="CD31" s="519"/>
      <x:c r="CE31" s="519"/>
      <x:c r="CF31" s="519"/>
      <x:c r="CG31" s="519"/>
      <x:c r="CH31" s="519"/>
      <x:c r="CI31" s="519"/>
      <x:c r="CJ31" s="520"/>
      <x:c r="CK31" s="433"/>
      <x:c r="CQ31" s="454"/>
      <x:c r="CR31" s="469" t="s">
        <x:v>792</x:v>
      </x:c>
      <x:c r="CS31" s="470">
        <x:f>IFERROR(
  IF(INDEX(ACC!AE:AE, MATCH(CS30, ACC!AF:AF, 0)) = "",
     "-",
     INDEX(ACC!AE:AE, MATCH(CS30, ACC!AF:AF, 0))),
  "-"
)</x:f>
      </x:c>
      <x:c r="CT31" s="458"/>
    </x:row>
    <x:row r="32" spans="1:98" ht="17.25" customHeight="1">
      <x:c r="A32" s="504"/>
      <x:c r="B32" s="505"/>
      <x:c r="C32" s="505"/>
      <x:c r="D32" s="506"/>
      <x:c r="E32" s="507">
        <x:v>25</x:v>
      </x:c>
      <x:c r="F32" s="581"/>
      <x:c r="G32" s="445" t="s">
        <x:v>793</x:v>
      </x:c>
      <x:c r="H32" s="446" t="s">
        <x:v>794</x:v>
      </x:c>
      <x:c r="I32" s="446"/>
      <x:c r="J32" s="446"/>
      <x:c r="K32" s="446"/>
      <x:c r="L32" s="446"/>
      <x:c r="M32" s="446"/>
      <x:c r="N32" s="446"/>
      <x:c r="O32" s="446"/>
      <x:c r="P32" s="446"/>
      <x:c r="Q32" s="446"/>
      <x:c r="R32" s="446"/>
      <x:c r="S32" s="446"/>
      <x:c r="T32" s="446"/>
      <x:c r="U32" s="446"/>
      <x:c r="V32" s="446"/>
      <x:c r="W32" s="446"/>
      <x:c r="X32" s="453"/>
      <x:c r="Y32" s="518" t="s">
        <x:v>795</x:v>
      </x:c>
      <x:c r="Z32" s="519"/>
      <x:c r="AA32" s="519"/>
      <x:c r="AB32" s="519"/>
      <x:c r="AC32" s="519"/>
      <x:c r="AD32" s="519"/>
      <x:c r="AE32" s="519"/>
      <x:c r="AF32" s="519"/>
      <x:c r="AG32" s="519"/>
      <x:c r="AH32" s="519"/>
      <x:c r="AI32" s="519"/>
      <x:c r="AJ32" s="519"/>
      <x:c r="AK32" s="519"/>
      <x:c r="AL32" s="519"/>
      <x:c r="AM32" s="519"/>
      <x:c r="AN32" s="519"/>
      <x:c r="AO32" s="519"/>
      <x:c r="AP32" s="519"/>
      <x:c r="AQ32" s="519"/>
      <x:c r="AR32" s="519"/>
      <x:c r="AS32" s="520"/>
      <x:c r="AT32" s="552"/>
      <x:c r="AU32" s="553"/>
      <x:c r="AV32" s="553"/>
      <x:c r="AW32" s="554"/>
      <x:c r="AX32" s="524">
        <x:v>70</x:v>
      </x:c>
      <x:c r="AY32" s="525"/>
      <x:c r="AZ32" s="476" t="s">
        <x:v>796</x:v>
      </x:c>
      <x:c r="BA32" s="477" t="s">
        <x:v>797</x:v>
      </x:c>
      <x:c r="BB32" s="477"/>
      <x:c r="BC32" s="477"/>
      <x:c r="BD32" s="477"/>
      <x:c r="BE32" s="477"/>
      <x:c r="BF32" s="477"/>
      <x:c r="BG32" s="477"/>
      <x:c r="BH32" s="555" t="s">
        <x:v>798</x:v>
      </x:c>
      <x:c r="BI32" s="477" t="s">
        <x:v>799</x:v>
      </x:c>
      <x:c r="BJ32" s="477"/>
      <x:c r="BK32" s="477"/>
      <x:c r="BL32" s="477"/>
      <x:c r="BM32" s="477"/>
      <x:c r="BN32" s="477"/>
      <x:c r="BO32" s="477"/>
      <x:c r="BP32" s="478"/>
      <x:c r="BQ32" s="481">
        <x:f>CS20</x:f>
      </x:c>
      <x:c r="BR32" s="482"/>
      <x:c r="BS32" s="482"/>
      <x:c r="BT32" s="482"/>
      <x:c r="BU32" s="482"/>
      <x:c r="BV32" s="482"/>
      <x:c r="BW32" s="482"/>
      <x:c r="BX32" s="482"/>
      <x:c r="BY32" s="482"/>
      <x:c r="BZ32" s="564"/>
      <x:c r="CA32" s="481">
        <x:f>CS19</x:f>
      </x:c>
      <x:c r="CB32" s="482"/>
      <x:c r="CC32" s="482"/>
      <x:c r="CD32" s="482"/>
      <x:c r="CE32" s="482"/>
      <x:c r="CF32" s="482"/>
      <x:c r="CG32" s="482"/>
      <x:c r="CH32" s="482"/>
      <x:c r="CI32" s="482"/>
      <x:c r="CJ32" s="483"/>
      <x:c r="CK32" s="433"/>
      <x:c r="CQ32" s="628"/>
      <x:c r="CR32" s="548" t="s">
        <x:v>800</x:v>
      </x:c>
      <x:c r="CS32" s="460" t="s"/>
      <x:c r="CT32" s="458"/>
    </x:row>
    <x:row r="33" spans="1:98">
      <x:c r="A33" s="504"/>
      <x:c r="B33" s="505"/>
      <x:c r="C33" s="505"/>
      <x:c r="D33" s="506"/>
      <x:c r="E33" s="507">
        <x:v>26</x:v>
      </x:c>
      <x:c r="F33" s="581"/>
      <x:c r="G33" s="629"/>
      <x:c r="H33" s="446" t="s">
        <x:v>801</x:v>
      </x:c>
      <x:c r="I33" s="446"/>
      <x:c r="J33" s="446"/>
      <x:c r="K33" s="446"/>
      <x:c r="L33" s="446"/>
      <x:c r="M33" s="446"/>
      <x:c r="N33" s="446"/>
      <x:c r="O33" s="446"/>
      <x:c r="P33" s="446"/>
      <x:c r="Q33" s="630"/>
      <x:c r="R33" s="631" t="s">
        <x:v>802</x:v>
      </x:c>
      <x:c r="S33" s="631"/>
      <x:c r="T33" s="631"/>
      <x:c r="U33" s="631"/>
      <x:c r="V33" s="631"/>
      <x:c r="W33" s="631"/>
      <x:c r="X33" s="632"/>
      <x:c r="Y33" s="518"/>
      <x:c r="Z33" s="519"/>
      <x:c r="AA33" s="519"/>
      <x:c r="AB33" s="519"/>
      <x:c r="AC33" s="519"/>
      <x:c r="AD33" s="519"/>
      <x:c r="AE33" s="519"/>
      <x:c r="AF33" s="519"/>
      <x:c r="AG33" s="519"/>
      <x:c r="AH33" s="519"/>
      <x:c r="AI33" s="627"/>
      <x:c r="AJ33" s="633"/>
      <x:c r="AK33" s="634"/>
      <x:c r="AL33" s="634"/>
      <x:c r="AM33" s="634"/>
      <x:c r="AN33" s="634"/>
      <x:c r="AO33" s="634"/>
      <x:c r="AP33" s="634"/>
      <x:c r="AQ33" s="634"/>
      <x:c r="AR33" s="634"/>
      <x:c r="AS33" s="635"/>
      <x:c r="AT33" s="529" t="s">
        <x:v>803</x:v>
      </x:c>
      <x:c r="AU33" s="530"/>
      <x:c r="AV33" s="530"/>
      <x:c r="AW33" s="531"/>
      <x:c r="AX33" s="532">
        <x:v>71</x:v>
      </x:c>
      <x:c r="AY33" s="533"/>
      <x:c r="AZ33" s="534" t="s">
        <x:v>804</x:v>
      </x:c>
      <x:c r="BA33" s="595" t="s">
        <x:v>805</x:v>
      </x:c>
      <x:c r="BB33" s="595"/>
      <x:c r="BC33" s="595"/>
      <x:c r="BD33" s="595"/>
      <x:c r="BE33" s="595"/>
      <x:c r="BF33" s="595"/>
      <x:c r="BG33" s="595"/>
      <x:c r="BH33" s="595"/>
      <x:c r="BI33" s="595"/>
      <x:c r="BJ33" s="595"/>
      <x:c r="BK33" s="595"/>
      <x:c r="BL33" s="595"/>
      <x:c r="BM33" s="595"/>
      <x:c r="BN33" s="595"/>
      <x:c r="BO33" s="595"/>
      <x:c r="BP33" s="596"/>
      <x:c r="BQ33" s="636">
        <x:f>CS34</x:f>
      </x:c>
      <x:c r="BR33" s="637"/>
      <x:c r="BS33" s="637"/>
      <x:c r="BT33" s="637"/>
      <x:c r="BU33" s="637"/>
      <x:c r="BV33" s="637"/>
      <x:c r="BW33" s="637"/>
      <x:c r="BX33" s="637"/>
      <x:c r="BY33" s="637"/>
      <x:c r="BZ33" s="637"/>
      <x:c r="CA33" s="637"/>
      <x:c r="CB33" s="637"/>
      <x:c r="CC33" s="637"/>
      <x:c r="CD33" s="637"/>
      <x:c r="CE33" s="637"/>
      <x:c r="CF33" s="637"/>
      <x:c r="CG33" s="637"/>
      <x:c r="CH33" s="637"/>
      <x:c r="CI33" s="637"/>
      <x:c r="CJ33" s="638"/>
      <x:c r="CK33" s="433"/>
      <x:c r="CQ33" s="639"/>
      <x:c r="CR33" s="469" t="s">
        <x:v>807</x:v>
      </x:c>
      <x:c r="CS33" s="470">
        <x:f>IFERROR(
  IF(INDEX(ACC!AA:AA, MATCH(CS32, ACC!Y:Y, 0)) = "",
     "-",
     INDEX(ACC!AA:AA, MATCH(CS32, ACC!Y:Y, 0))),
  "-"
)</x:f>
      </x:c>
      <x:c r="CT33" s="458"/>
    </x:row>
    <x:row r="34" spans="1:98" ht="17.25" customHeight="1">
      <x:c r="A34" s="504"/>
      <x:c r="B34" s="505"/>
      <x:c r="C34" s="505"/>
      <x:c r="D34" s="506"/>
      <x:c r="E34" s="507">
        <x:v>27</x:v>
      </x:c>
      <x:c r="F34" s="581"/>
      <x:c r="G34" s="640"/>
      <x:c r="H34" s="446" t="s">
        <x:v>808</x:v>
      </x:c>
      <x:c r="I34" s="446"/>
      <x:c r="J34" s="446"/>
      <x:c r="K34" s="446"/>
      <x:c r="L34" s="446"/>
      <x:c r="M34" s="446"/>
      <x:c r="N34" s="446"/>
      <x:c r="O34" s="446"/>
      <x:c r="P34" s="446"/>
      <x:c r="Q34" s="446"/>
      <x:c r="R34" s="446"/>
      <x:c r="S34" s="446"/>
      <x:c r="T34" s="446"/>
      <x:c r="U34" s="446"/>
      <x:c r="V34" s="446"/>
      <x:c r="W34" s="446"/>
      <x:c r="X34" s="453"/>
      <x:c r="Y34" s="518" t="s">
        <x:v>809</x:v>
      </x:c>
      <x:c r="Z34" s="519"/>
      <x:c r="AA34" s="519"/>
      <x:c r="AB34" s="519"/>
      <x:c r="AC34" s="519"/>
      <x:c r="AD34" s="519"/>
      <x:c r="AE34" s="519"/>
      <x:c r="AF34" s="519"/>
      <x:c r="AG34" s="519"/>
      <x:c r="AH34" s="519"/>
      <x:c r="AI34" s="519"/>
      <x:c r="AJ34" s="519"/>
      <x:c r="AK34" s="519"/>
      <x:c r="AL34" s="519"/>
      <x:c r="AM34" s="519"/>
      <x:c r="AN34" s="519"/>
      <x:c r="AO34" s="519"/>
      <x:c r="AP34" s="519"/>
      <x:c r="AQ34" s="519"/>
      <x:c r="AR34" s="519"/>
      <x:c r="AS34" s="520"/>
      <x:c r="AT34" s="542"/>
      <x:c r="AU34" s="543"/>
      <x:c r="AV34" s="543"/>
      <x:c r="AW34" s="544"/>
      <x:c r="AX34" s="524">
        <x:v>72</x:v>
      </x:c>
      <x:c r="AY34" s="525"/>
      <x:c r="AZ34" s="555" t="s">
        <x:v>810</x:v>
      </x:c>
      <x:c r="BA34" s="477" t="s">
        <x:v>811</x:v>
      </x:c>
      <x:c r="BB34" s="477"/>
      <x:c r="BC34" s="477"/>
      <x:c r="BD34" s="477"/>
      <x:c r="BE34" s="477"/>
      <x:c r="BF34" s="477"/>
      <x:c r="BG34" s="477"/>
      <x:c r="BH34" s="477"/>
      <x:c r="BI34" s="477"/>
      <x:c r="BJ34" s="477"/>
      <x:c r="BK34" s="477"/>
      <x:c r="BL34" s="477"/>
      <x:c r="BM34" s="477"/>
      <x:c r="BN34" s="477"/>
      <x:c r="BO34" s="477"/>
      <x:c r="BP34" s="478"/>
      <x:c r="BQ34" s="481">
        <x:f>CS33</x:f>
      </x:c>
      <x:c r="BR34" s="482"/>
      <x:c r="BS34" s="482"/>
      <x:c r="BT34" s="482"/>
      <x:c r="BU34" s="482"/>
      <x:c r="BV34" s="482"/>
      <x:c r="BW34" s="482"/>
      <x:c r="BX34" s="482"/>
      <x:c r="BY34" s="482"/>
      <x:c r="BZ34" s="482"/>
      <x:c r="CA34" s="482"/>
      <x:c r="CB34" s="482"/>
      <x:c r="CC34" s="482"/>
      <x:c r="CD34" s="482"/>
      <x:c r="CE34" s="482"/>
      <x:c r="CF34" s="482"/>
      <x:c r="CG34" s="482"/>
      <x:c r="CH34" s="482"/>
      <x:c r="CI34" s="482"/>
      <x:c r="CJ34" s="483"/>
      <x:c r="CK34" s="433"/>
      <x:c r="CQ34" s="639"/>
      <x:c r="CR34" s="469" t="s">
        <x:v>812</x:v>
      </x:c>
      <x:c r="CS34" s="470">
        <x:f>IFERROR(
  IF(INDEX(ACC!Z:Z, MATCH(CS32, ACC!Y:Y, 0)) = "",
     "-",
     INDEX(ACC!Z:Z, MATCH(CS32, ACC!Y:Y, 0))),
  "-"
)</x:f>
      </x:c>
      <x:c r="CT34" s="458"/>
    </x:row>
    <x:row r="35" spans="1:98">
      <x:c r="A35" s="504"/>
      <x:c r="B35" s="505"/>
      <x:c r="C35" s="505"/>
      <x:c r="D35" s="506"/>
      <x:c r="E35" s="507">
        <x:v>28</x:v>
      </x:c>
      <x:c r="F35" s="581"/>
      <x:c r="G35" s="445" t="s">
        <x:v>813</x:v>
      </x:c>
      <x:c r="H35" s="446" t="s">
        <x:v>814</x:v>
      </x:c>
      <x:c r="I35" s="446"/>
      <x:c r="J35" s="446"/>
      <x:c r="K35" s="446"/>
      <x:c r="L35" s="446"/>
      <x:c r="M35" s="446"/>
      <x:c r="N35" s="446"/>
      <x:c r="O35" s="446"/>
      <x:c r="P35" s="446"/>
      <x:c r="Q35" s="446"/>
      <x:c r="R35" s="446"/>
      <x:c r="S35" s="446"/>
      <x:c r="T35" s="446"/>
      <x:c r="U35" s="446"/>
      <x:c r="V35" s="446"/>
      <x:c r="W35" s="446"/>
      <x:c r="X35" s="453"/>
      <x:c r="Y35" s="518"/>
      <x:c r="Z35" s="519"/>
      <x:c r="AA35" s="519"/>
      <x:c r="AB35" s="519"/>
      <x:c r="AC35" s="519"/>
      <x:c r="AD35" s="519"/>
      <x:c r="AE35" s="519"/>
      <x:c r="AF35" s="519"/>
      <x:c r="AG35" s="519"/>
      <x:c r="AH35" s="519"/>
      <x:c r="AI35" s="519"/>
      <x:c r="AJ35" s="519"/>
      <x:c r="AK35" s="519"/>
      <x:c r="AL35" s="519"/>
      <x:c r="AM35" s="519"/>
      <x:c r="AN35" s="519"/>
      <x:c r="AO35" s="519"/>
      <x:c r="AP35" s="519"/>
      <x:c r="AQ35" s="519"/>
      <x:c r="AR35" s="519"/>
      <x:c r="AS35" s="520"/>
      <x:c r="AT35" s="641" t="s">
        <x:v>815</x:v>
      </x:c>
      <x:c r="AU35" s="642"/>
      <x:c r="AV35" s="642"/>
      <x:c r="AW35" s="643"/>
      <x:c r="AX35" s="532">
        <x:v>73</x:v>
      </x:c>
      <x:c r="AY35" s="533"/>
      <x:c r="AZ35" s="534" t="s">
        <x:v>816</x:v>
      </x:c>
      <x:c r="BA35" s="440" t="s">
        <x:v>817</x:v>
      </x:c>
      <x:c r="BB35" s="440"/>
      <x:c r="BC35" s="440"/>
      <x:c r="BD35" s="440"/>
      <x:c r="BE35" s="440"/>
      <x:c r="BF35" s="440"/>
      <x:c r="BG35" s="440"/>
      <x:c r="BH35" s="440"/>
      <x:c r="BI35" s="440"/>
      <x:c r="BJ35" s="440"/>
      <x:c r="BK35" s="440"/>
      <x:c r="BL35" s="440"/>
      <x:c r="BM35" s="440"/>
      <x:c r="BN35" s="440"/>
      <x:c r="BO35" s="440"/>
      <x:c r="BP35" s="441"/>
      <x:c r="BQ35" s="495">
        <x:f>CS37</x:f>
      </x:c>
      <x:c r="BR35" s="493"/>
      <x:c r="BS35" s="493"/>
      <x:c r="BT35" s="493"/>
      <x:c r="BU35" s="493"/>
      <x:c r="BV35" s="493"/>
      <x:c r="BW35" s="493"/>
      <x:c r="BX35" s="493"/>
      <x:c r="BY35" s="493"/>
      <x:c r="BZ35" s="493"/>
      <x:c r="CA35" s="493"/>
      <x:c r="CB35" s="493"/>
      <x:c r="CC35" s="493"/>
      <x:c r="CD35" s="493"/>
      <x:c r="CE35" s="493"/>
      <x:c r="CF35" s="493"/>
      <x:c r="CG35" s="493"/>
      <x:c r="CH35" s="493"/>
      <x:c r="CI35" s="493"/>
      <x:c r="CJ35" s="496"/>
      <x:c r="CK35" s="433"/>
      <x:c r="CQ35" s="639"/>
      <x:c r="CR35" s="548" t="s">
        <x:v>818</x:v>
      </x:c>
      <x:c r="CS35" s="460" t="s"/>
      <x:c r="CT35" s="458"/>
    </x:row>
    <x:row r="36" spans="1:98" ht="17.25" customHeight="1">
      <x:c r="A36" s="504"/>
      <x:c r="B36" s="505"/>
      <x:c r="C36" s="505"/>
      <x:c r="D36" s="506"/>
      <x:c r="E36" s="507">
        <x:v>29</x:v>
      </x:c>
      <x:c r="F36" s="581"/>
      <x:c r="G36" s="535"/>
      <x:c r="H36" s="615" t="s">
        <x:v>819</x:v>
      </x:c>
      <x:c r="I36" s="615"/>
      <x:c r="J36" s="615"/>
      <x:c r="K36" s="615"/>
      <x:c r="L36" s="615"/>
      <x:c r="M36" s="615"/>
      <x:c r="N36" s="615"/>
      <x:c r="O36" s="615"/>
      <x:c r="P36" s="617"/>
      <x:c r="Q36" s="644"/>
      <x:c r="R36" s="645" t="s">
        <x:v>820</x:v>
      </x:c>
      <x:c r="S36" s="645"/>
      <x:c r="T36" s="645"/>
      <x:c r="U36" s="645"/>
      <x:c r="V36" s="645"/>
      <x:c r="W36" s="645"/>
      <x:c r="X36" s="646"/>
      <x:c r="Y36" s="518" t="s">
        <x:v>821</x:v>
      </x:c>
      <x:c r="Z36" s="519"/>
      <x:c r="AA36" s="519"/>
      <x:c r="AB36" s="519"/>
      <x:c r="AC36" s="519"/>
      <x:c r="AD36" s="519"/>
      <x:c r="AE36" s="519"/>
      <x:c r="AF36" s="519"/>
      <x:c r="AG36" s="519"/>
      <x:c r="AH36" s="519"/>
      <x:c r="AI36" s="519"/>
      <x:c r="AJ36" s="519"/>
      <x:c r="AK36" s="519"/>
      <x:c r="AL36" s="519"/>
      <x:c r="AM36" s="519"/>
      <x:c r="AN36" s="519"/>
      <x:c r="AO36" s="519"/>
      <x:c r="AP36" s="519"/>
      <x:c r="AQ36" s="519"/>
      <x:c r="AR36" s="519"/>
      <x:c r="AS36" s="520"/>
      <x:c r="AT36" s="647"/>
      <x:c r="AU36" s="648"/>
      <x:c r="AV36" s="648"/>
      <x:c r="AW36" s="649"/>
      <x:c r="AX36" s="524">
        <x:v>74</x:v>
      </x:c>
      <x:c r="AY36" s="525"/>
      <x:c r="AZ36" s="555" t="s">
        <x:v>822</x:v>
      </x:c>
      <x:c r="BA36" s="477" t="s">
        <x:v>823</x:v>
      </x:c>
      <x:c r="BB36" s="477"/>
      <x:c r="BC36" s="477"/>
      <x:c r="BD36" s="477"/>
      <x:c r="BE36" s="477"/>
      <x:c r="BF36" s="477"/>
      <x:c r="BG36" s="477"/>
      <x:c r="BH36" s="477"/>
      <x:c r="BI36" s="477"/>
      <x:c r="BJ36" s="477"/>
      <x:c r="BK36" s="477"/>
      <x:c r="BL36" s="477"/>
      <x:c r="BM36" s="477"/>
      <x:c r="BN36" s="477"/>
      <x:c r="BO36" s="477"/>
      <x:c r="BP36" s="478"/>
      <x:c r="BQ36" s="481">
        <x:f>CS36</x:f>
      </x:c>
      <x:c r="BR36" s="482"/>
      <x:c r="BS36" s="482"/>
      <x:c r="BT36" s="482"/>
      <x:c r="BU36" s="482"/>
      <x:c r="BV36" s="482"/>
      <x:c r="BW36" s="482"/>
      <x:c r="BX36" s="482"/>
      <x:c r="BY36" s="482"/>
      <x:c r="BZ36" s="482"/>
      <x:c r="CA36" s="482"/>
      <x:c r="CB36" s="482"/>
      <x:c r="CC36" s="482"/>
      <x:c r="CD36" s="482"/>
      <x:c r="CE36" s="482"/>
      <x:c r="CF36" s="482"/>
      <x:c r="CG36" s="482"/>
      <x:c r="CH36" s="482"/>
      <x:c r="CI36" s="482"/>
      <x:c r="CJ36" s="483"/>
      <x:c r="CK36" s="433"/>
      <x:c r="CQ36" s="639"/>
      <x:c r="CR36" s="469" t="s">
        <x:v>824</x:v>
      </x:c>
      <x:c r="CS36" s="470">
        <x:f>IFERROR(
  IF(INDEX(ACC!AD:AD, MATCH(CS35, ACC!AB:AB, 0)) = "",
     "-",
     INDEX(ACC!AD:AD, MATCH(CS35, ACC!AB:AB, 0))),
  "-"
)</x:f>
      </x:c>
      <x:c r="CT36" s="458"/>
    </x:row>
    <x:row r="37" spans="1:98">
      <x:c r="A37" s="504"/>
      <x:c r="B37" s="505"/>
      <x:c r="C37" s="505"/>
      <x:c r="D37" s="506"/>
      <x:c r="E37" s="507">
        <x:v>30</x:v>
      </x:c>
      <x:c r="F37" s="581"/>
      <x:c r="G37" s="535"/>
      <x:c r="H37" s="650"/>
      <x:c r="I37" s="650"/>
      <x:c r="J37" s="650"/>
      <x:c r="K37" s="650"/>
      <x:c r="L37" s="650"/>
      <x:c r="M37" s="650"/>
      <x:c r="N37" s="650"/>
      <x:c r="O37" s="650"/>
      <x:c r="P37" s="651"/>
      <x:c r="Q37" s="644"/>
      <x:c r="R37" s="645" t="s">
        <x:v>825</x:v>
      </x:c>
      <x:c r="S37" s="645"/>
      <x:c r="T37" s="645"/>
      <x:c r="U37" s="645"/>
      <x:c r="V37" s="645"/>
      <x:c r="W37" s="645"/>
      <x:c r="X37" s="646"/>
      <x:c r="Y37" s="518" t="s">
        <x:v>826</x:v>
      </x:c>
      <x:c r="Z37" s="519"/>
      <x:c r="AA37" s="519"/>
      <x:c r="AB37" s="519"/>
      <x:c r="AC37" s="519"/>
      <x:c r="AD37" s="519"/>
      <x:c r="AE37" s="519"/>
      <x:c r="AF37" s="519"/>
      <x:c r="AG37" s="519"/>
      <x:c r="AH37" s="519"/>
      <x:c r="AI37" s="519"/>
      <x:c r="AJ37" s="519"/>
      <x:c r="AK37" s="519"/>
      <x:c r="AL37" s="519"/>
      <x:c r="AM37" s="519"/>
      <x:c r="AN37" s="519"/>
      <x:c r="AO37" s="519"/>
      <x:c r="AP37" s="519"/>
      <x:c r="AQ37" s="519"/>
      <x:c r="AR37" s="519"/>
      <x:c r="AS37" s="520"/>
      <x:c r="AT37" s="545" t="s">
        <x:v>827</x:v>
      </x:c>
      <x:c r="AU37" s="546"/>
      <x:c r="AV37" s="546"/>
      <x:c r="AW37" s="547"/>
      <x:c r="AX37" s="532">
        <x:v>75</x:v>
      </x:c>
      <x:c r="AY37" s="533"/>
      <x:c r="AZ37" s="534" t="s">
        <x:v>828</x:v>
      </x:c>
      <x:c r="BA37" s="440" t="s">
        <x:v>829</x:v>
      </x:c>
      <x:c r="BB37" s="440"/>
      <x:c r="BC37" s="440"/>
      <x:c r="BD37" s="440"/>
      <x:c r="BE37" s="440"/>
      <x:c r="BF37" s="440"/>
      <x:c r="BG37" s="440"/>
      <x:c r="BH37" s="440"/>
      <x:c r="BI37" s="440"/>
      <x:c r="BJ37" s="440"/>
      <x:c r="BK37" s="440"/>
      <x:c r="BL37" s="440"/>
      <x:c r="BM37" s="440"/>
      <x:c r="BN37" s="440"/>
      <x:c r="BO37" s="440"/>
      <x:c r="BP37" s="441"/>
      <x:c r="BQ37" s="495">
        <x:f>CS31</x:f>
      </x:c>
      <x:c r="BR37" s="493"/>
      <x:c r="BS37" s="493"/>
      <x:c r="BT37" s="493"/>
      <x:c r="BU37" s="493"/>
      <x:c r="BV37" s="493"/>
      <x:c r="BW37" s="493"/>
      <x:c r="BX37" s="493"/>
      <x:c r="BY37" s="493"/>
      <x:c r="BZ37" s="493"/>
      <x:c r="CA37" s="493"/>
      <x:c r="CB37" s="493"/>
      <x:c r="CC37" s="493"/>
      <x:c r="CD37" s="493"/>
      <x:c r="CE37" s="493"/>
      <x:c r="CF37" s="493"/>
      <x:c r="CG37" s="493"/>
      <x:c r="CH37" s="493"/>
      <x:c r="CI37" s="493"/>
      <x:c r="CJ37" s="496"/>
      <x:c r="CK37" s="433"/>
      <x:c r="CQ37" s="639"/>
      <x:c r="CR37" s="469" t="s">
        <x:v>830</x:v>
      </x:c>
      <x:c r="CS37" s="470">
        <x:f>IFERROR(
  IF(INDEX(ACC!AC:AC, MATCH(CS35, ACC!AB:AB, 0)) = "",
     "-",
     INDEX(ACC!AC:AC, MATCH(CS35, ACC!AB:AB, 0))),
  "-"
)</x:f>
      </x:c>
      <x:c r="CT37" s="458"/>
    </x:row>
    <x:row r="38" spans="1:98" ht="17.25" customHeight="1">
      <x:c r="A38" s="504"/>
      <x:c r="B38" s="505"/>
      <x:c r="C38" s="505"/>
      <x:c r="D38" s="506"/>
      <x:c r="E38" s="507">
        <x:v>31</x:v>
      </x:c>
      <x:c r="F38" s="581"/>
      <x:c r="G38" s="535"/>
      <x:c r="H38" s="650"/>
      <x:c r="I38" s="650"/>
      <x:c r="J38" s="650"/>
      <x:c r="K38" s="650"/>
      <x:c r="L38" s="650"/>
      <x:c r="M38" s="650"/>
      <x:c r="N38" s="650"/>
      <x:c r="O38" s="650"/>
      <x:c r="P38" s="651"/>
      <x:c r="Q38" s="644" t="s">
        <x:v>831</x:v>
      </x:c>
      <x:c r="R38" s="645" t="s">
        <x:v>832</x:v>
      </x:c>
      <x:c r="S38" s="645"/>
      <x:c r="T38" s="645"/>
      <x:c r="U38" s="645"/>
      <x:c r="V38" s="645"/>
      <x:c r="W38" s="645"/>
      <x:c r="X38" s="646"/>
      <x:c r="Y38" s="633"/>
      <x:c r="Z38" s="634"/>
      <x:c r="AA38" s="634"/>
      <x:c r="AB38" s="634"/>
      <x:c r="AC38" s="634"/>
      <x:c r="AD38" s="634"/>
      <x:c r="AE38" s="634"/>
      <x:c r="AF38" s="634"/>
      <x:c r="AG38" s="634"/>
      <x:c r="AH38" s="634"/>
      <x:c r="AI38" s="634"/>
      <x:c r="AJ38" s="634"/>
      <x:c r="AK38" s="634"/>
      <x:c r="AL38" s="634"/>
      <x:c r="AM38" s="634"/>
      <x:c r="AN38" s="634"/>
      <x:c r="AO38" s="634"/>
      <x:c r="AP38" s="634"/>
      <x:c r="AQ38" s="634"/>
      <x:c r="AR38" s="634"/>
      <x:c r="AS38" s="635"/>
      <x:c r="AT38" s="545"/>
      <x:c r="AU38" s="546"/>
      <x:c r="AV38" s="546"/>
      <x:c r="AW38" s="547"/>
      <x:c r="AX38" s="513">
        <x:v>76</x:v>
      </x:c>
      <x:c r="AY38" s="514"/>
      <x:c r="AZ38" s="445" t="s">
        <x:v>833</x:v>
      </x:c>
      <x:c r="BA38" s="446" t="s">
        <x:v>834</x:v>
      </x:c>
      <x:c r="BB38" s="446"/>
      <x:c r="BC38" s="446"/>
      <x:c r="BD38" s="446"/>
      <x:c r="BE38" s="446"/>
      <x:c r="BF38" s="446"/>
      <x:c r="BG38" s="446"/>
      <x:c r="BH38" s="446"/>
      <x:c r="BI38" s="446"/>
      <x:c r="BJ38" s="446"/>
      <x:c r="BK38" s="446"/>
      <x:c r="BL38" s="446"/>
      <x:c r="BM38" s="446"/>
      <x:c r="BN38" s="446"/>
      <x:c r="BO38" s="446"/>
      <x:c r="BP38" s="453"/>
      <x:c r="BQ38" s="463"/>
      <x:c r="BR38" s="464"/>
      <x:c r="BS38" s="464"/>
      <x:c r="BT38" s="464"/>
      <x:c r="BU38" s="464"/>
      <x:c r="BV38" s="464"/>
      <x:c r="BW38" s="464"/>
      <x:c r="BX38" s="464"/>
      <x:c r="BY38" s="464"/>
      <x:c r="BZ38" s="464"/>
      <x:c r="CA38" s="464"/>
      <x:c r="CB38" s="464"/>
      <x:c r="CC38" s="464"/>
      <x:c r="CD38" s="464"/>
      <x:c r="CE38" s="464"/>
      <x:c r="CF38" s="464"/>
      <x:c r="CG38" s="464"/>
      <x:c r="CH38" s="464"/>
      <x:c r="CI38" s="464"/>
      <x:c r="CJ38" s="465"/>
      <x:c r="CK38" s="433"/>
      <x:c r="CQ38" s="652"/>
      <x:c r="CR38" s="540"/>
      <x:c r="CS38" s="540"/>
      <x:c r="CT38" s="541"/>
    </x:row>
    <x:row r="39" spans="1:98">
      <x:c r="A39" s="504"/>
      <x:c r="B39" s="505"/>
      <x:c r="C39" s="505"/>
      <x:c r="D39" s="506"/>
      <x:c r="E39" s="507">
        <x:v>32</x:v>
      </x:c>
      <x:c r="F39" s="581"/>
      <x:c r="G39" s="535"/>
      <x:c r="H39" s="650"/>
      <x:c r="I39" s="650"/>
      <x:c r="J39" s="650"/>
      <x:c r="K39" s="650"/>
      <x:c r="L39" s="650"/>
      <x:c r="M39" s="650"/>
      <x:c r="N39" s="650"/>
      <x:c r="O39" s="650"/>
      <x:c r="P39" s="651"/>
      <x:c r="Q39" s="644"/>
      <x:c r="R39" s="645" t="s">
        <x:v>835</x:v>
      </x:c>
      <x:c r="S39" s="645"/>
      <x:c r="T39" s="645"/>
      <x:c r="U39" s="645"/>
      <x:c r="V39" s="645"/>
      <x:c r="W39" s="645"/>
      <x:c r="X39" s="646"/>
      <x:c r="Y39" s="633"/>
      <x:c r="Z39" s="634"/>
      <x:c r="AA39" s="634"/>
      <x:c r="AB39" s="634"/>
      <x:c r="AC39" s="634"/>
      <x:c r="AD39" s="634"/>
      <x:c r="AE39" s="634"/>
      <x:c r="AF39" s="634"/>
      <x:c r="AG39" s="634"/>
      <x:c r="AH39" s="634"/>
      <x:c r="AI39" s="634"/>
      <x:c r="AJ39" s="634"/>
      <x:c r="AK39" s="634"/>
      <x:c r="AL39" s="634"/>
      <x:c r="AM39" s="634"/>
      <x:c r="AN39" s="634"/>
      <x:c r="AO39" s="634"/>
      <x:c r="AP39" s="634"/>
      <x:c r="AQ39" s="634"/>
      <x:c r="AR39" s="634"/>
      <x:c r="AS39" s="635"/>
      <x:c r="AT39" s="545"/>
      <x:c r="AU39" s="546"/>
      <x:c r="AV39" s="546"/>
      <x:c r="AW39" s="547"/>
      <x:c r="AX39" s="513">
        <x:v>77</x:v>
      </x:c>
      <x:c r="AY39" s="514"/>
      <x:c r="AZ39" s="445" t="s">
        <x:v>836</x:v>
      </x:c>
      <x:c r="BA39" s="446" t="s">
        <x:v>837</x:v>
      </x:c>
      <x:c r="BB39" s="446"/>
      <x:c r="BC39" s="446"/>
      <x:c r="BD39" s="446"/>
      <x:c r="BE39" s="446"/>
      <x:c r="BF39" s="446"/>
      <x:c r="BG39" s="446"/>
      <x:c r="BH39" s="446"/>
      <x:c r="BI39" s="446"/>
      <x:c r="BJ39" s="446"/>
      <x:c r="BK39" s="446"/>
      <x:c r="BL39" s="446"/>
      <x:c r="BM39" s="446"/>
      <x:c r="BN39" s="446"/>
      <x:c r="BO39" s="446"/>
      <x:c r="BP39" s="453"/>
      <x:c r="BQ39" s="463"/>
      <x:c r="BR39" s="464"/>
      <x:c r="BS39" s="464"/>
      <x:c r="BT39" s="464"/>
      <x:c r="BU39" s="464"/>
      <x:c r="BV39" s="464"/>
      <x:c r="BW39" s="464"/>
      <x:c r="BX39" s="464"/>
      <x:c r="BY39" s="464"/>
      <x:c r="BZ39" s="464"/>
      <x:c r="CA39" s="464"/>
      <x:c r="CB39" s="464"/>
      <x:c r="CC39" s="464"/>
      <x:c r="CD39" s="464"/>
      <x:c r="CE39" s="464"/>
      <x:c r="CF39" s="464"/>
      <x:c r="CG39" s="464"/>
      <x:c r="CH39" s="464"/>
      <x:c r="CI39" s="464"/>
      <x:c r="CJ39" s="465"/>
      <x:c r="CK39" s="433"/>
    </x:row>
    <x:row r="40" spans="1:98">
      <x:c r="A40" s="504"/>
      <x:c r="B40" s="505"/>
      <x:c r="C40" s="505"/>
      <x:c r="D40" s="506"/>
      <x:c r="E40" s="507">
        <x:v>33</x:v>
      </x:c>
      <x:c r="F40" s="581"/>
      <x:c r="G40" s="534"/>
      <x:c r="H40" s="440"/>
      <x:c r="I40" s="440"/>
      <x:c r="J40" s="440"/>
      <x:c r="K40" s="440"/>
      <x:c r="L40" s="440"/>
      <x:c r="M40" s="440"/>
      <x:c r="N40" s="440"/>
      <x:c r="O40" s="440"/>
      <x:c r="P40" s="441"/>
      <x:c r="Q40" s="644"/>
      <x:c r="R40" s="645"/>
      <x:c r="S40" s="645"/>
      <x:c r="T40" s="645"/>
      <x:c r="U40" s="645"/>
      <x:c r="V40" s="645"/>
      <x:c r="W40" s="645"/>
      <x:c r="X40" s="646"/>
      <x:c r="Y40" s="633"/>
      <x:c r="Z40" s="634"/>
      <x:c r="AA40" s="634"/>
      <x:c r="AB40" s="634"/>
      <x:c r="AC40" s="634"/>
      <x:c r="AD40" s="634"/>
      <x:c r="AE40" s="634"/>
      <x:c r="AF40" s="634"/>
      <x:c r="AG40" s="634"/>
      <x:c r="AH40" s="634"/>
      <x:c r="AI40" s="634"/>
      <x:c r="AJ40" s="634"/>
      <x:c r="AK40" s="634"/>
      <x:c r="AL40" s="634"/>
      <x:c r="AM40" s="634"/>
      <x:c r="AN40" s="634"/>
      <x:c r="AO40" s="634"/>
      <x:c r="AP40" s="634"/>
      <x:c r="AQ40" s="634"/>
      <x:c r="AR40" s="634"/>
      <x:c r="AS40" s="635"/>
      <x:c r="AT40" s="545"/>
      <x:c r="AU40" s="546"/>
      <x:c r="AV40" s="546"/>
      <x:c r="AW40" s="547"/>
      <x:c r="AX40" s="513">
        <x:v>78</x:v>
      </x:c>
      <x:c r="AY40" s="514"/>
      <x:c r="AZ40" s="445" t="s">
        <x:v>838</x:v>
      </x:c>
      <x:c r="BA40" s="446" t="s">
        <x:v>839</x:v>
      </x:c>
      <x:c r="BB40" s="446"/>
      <x:c r="BC40" s="446"/>
      <x:c r="BD40" s="446"/>
      <x:c r="BE40" s="446"/>
      <x:c r="BF40" s="446"/>
      <x:c r="BG40" s="446"/>
      <x:c r="BH40" s="446"/>
      <x:c r="BI40" s="446"/>
      <x:c r="BJ40" s="446"/>
      <x:c r="BK40" s="446"/>
      <x:c r="BL40" s="446"/>
      <x:c r="BM40" s="446"/>
      <x:c r="BN40" s="446"/>
      <x:c r="BO40" s="446"/>
      <x:c r="BP40" s="453"/>
      <x:c r="BQ40" s="463">
        <x:f>CS29</x:f>
      </x:c>
      <x:c r="BR40" s="464"/>
      <x:c r="BS40" s="464"/>
      <x:c r="BT40" s="464"/>
      <x:c r="BU40" s="464"/>
      <x:c r="BV40" s="464"/>
      <x:c r="BW40" s="464"/>
      <x:c r="BX40" s="464"/>
      <x:c r="BY40" s="464"/>
      <x:c r="BZ40" s="464"/>
      <x:c r="CA40" s="464"/>
      <x:c r="CB40" s="464"/>
      <x:c r="CC40" s="464"/>
      <x:c r="CD40" s="464"/>
      <x:c r="CE40" s="464"/>
      <x:c r="CF40" s="464"/>
      <x:c r="CG40" s="464"/>
      <x:c r="CH40" s="464"/>
      <x:c r="CI40" s="464"/>
      <x:c r="CJ40" s="465"/>
      <x:c r="CK40" s="433"/>
    </x:row>
    <x:row r="41" spans="1:98">
      <x:c r="A41" s="504"/>
      <x:c r="B41" s="505"/>
      <x:c r="C41" s="505"/>
      <x:c r="D41" s="506"/>
      <x:c r="E41" s="507">
        <x:v>34</x:v>
      </x:c>
      <x:c r="F41" s="581"/>
      <x:c r="G41" s="534"/>
      <x:c r="H41" s="462" t="s">
        <x:v>840</x:v>
      </x:c>
      <x:c r="I41" s="462"/>
      <x:c r="J41" s="462"/>
      <x:c r="K41" s="462"/>
      <x:c r="L41" s="462"/>
      <x:c r="M41" s="462"/>
      <x:c r="N41" s="462"/>
      <x:c r="O41" s="462"/>
      <x:c r="P41" s="462"/>
      <x:c r="Q41" s="462"/>
      <x:c r="R41" s="462"/>
      <x:c r="S41" s="462"/>
      <x:c r="T41" s="462"/>
      <x:c r="U41" s="462"/>
      <x:c r="V41" s="462"/>
      <x:c r="W41" s="462"/>
      <x:c r="X41" s="461"/>
      <x:c r="Y41" s="633" t="s">
        <x:v>841</x:v>
      </x:c>
      <x:c r="Z41" s="634"/>
      <x:c r="AA41" s="634"/>
      <x:c r="AB41" s="634"/>
      <x:c r="AC41" s="634"/>
      <x:c r="AD41" s="634"/>
      <x:c r="AE41" s="634"/>
      <x:c r="AF41" s="634"/>
      <x:c r="AG41" s="634"/>
      <x:c r="AH41" s="634"/>
      <x:c r="AI41" s="634"/>
      <x:c r="AJ41" s="634"/>
      <x:c r="AK41" s="634"/>
      <x:c r="AL41" s="634"/>
      <x:c r="AM41" s="634"/>
      <x:c r="AN41" s="634"/>
      <x:c r="AO41" s="634"/>
      <x:c r="AP41" s="634"/>
      <x:c r="AQ41" s="634"/>
      <x:c r="AR41" s="634"/>
      <x:c r="AS41" s="635"/>
      <x:c r="AT41" s="545"/>
      <x:c r="AU41" s="546"/>
      <x:c r="AV41" s="546"/>
      <x:c r="AW41" s="547"/>
      <x:c r="AX41" s="513">
        <x:v>79</x:v>
      </x:c>
      <x:c r="AY41" s="514"/>
      <x:c r="AZ41" s="445" t="s">
        <x:v>842</x:v>
      </x:c>
      <x:c r="BA41" s="446" t="s">
        <x:v>843</x:v>
      </x:c>
      <x:c r="BB41" s="446"/>
      <x:c r="BC41" s="446"/>
      <x:c r="BD41" s="446"/>
      <x:c r="BE41" s="446"/>
      <x:c r="BF41" s="446"/>
      <x:c r="BG41" s="446"/>
      <x:c r="BH41" s="446"/>
      <x:c r="BI41" s="446"/>
      <x:c r="BJ41" s="446"/>
      <x:c r="BK41" s="446"/>
      <x:c r="BL41" s="446"/>
      <x:c r="BM41" s="446"/>
      <x:c r="BN41" s="446"/>
      <x:c r="BO41" s="446"/>
      <x:c r="BP41" s="453"/>
      <x:c r="BQ41" s="463"/>
      <x:c r="BR41" s="464"/>
      <x:c r="BS41" s="464"/>
      <x:c r="BT41" s="464"/>
      <x:c r="BU41" s="464"/>
      <x:c r="BV41" s="464"/>
      <x:c r="BW41" s="464"/>
      <x:c r="BX41" s="464"/>
      <x:c r="BY41" s="464"/>
      <x:c r="BZ41" s="464"/>
      <x:c r="CA41" s="464"/>
      <x:c r="CB41" s="464"/>
      <x:c r="CC41" s="464"/>
      <x:c r="CD41" s="464"/>
      <x:c r="CE41" s="464"/>
      <x:c r="CF41" s="464"/>
      <x:c r="CG41" s="464"/>
      <x:c r="CH41" s="464"/>
      <x:c r="CI41" s="464"/>
      <x:c r="CJ41" s="465"/>
      <x:c r="CK41" s="433"/>
    </x:row>
    <x:row r="42" spans="1:98">
      <x:c r="A42" s="504"/>
      <x:c r="B42" s="505"/>
      <x:c r="C42" s="505"/>
      <x:c r="D42" s="506"/>
      <x:c r="E42" s="507">
        <x:v>35</x:v>
      </x:c>
      <x:c r="F42" s="581"/>
      <x:c r="G42" s="445" t="s">
        <x:v>844</x:v>
      </x:c>
      <x:c r="H42" s="446" t="s">
        <x:v>845</x:v>
      </x:c>
      <x:c r="I42" s="446"/>
      <x:c r="J42" s="446"/>
      <x:c r="K42" s="446"/>
      <x:c r="L42" s="446"/>
      <x:c r="M42" s="446"/>
      <x:c r="N42" s="446"/>
      <x:c r="O42" s="446"/>
      <x:c r="P42" s="446"/>
      <x:c r="Q42" s="446"/>
      <x:c r="R42" s="446"/>
      <x:c r="S42" s="446"/>
      <x:c r="T42" s="446"/>
      <x:c r="U42" s="446"/>
      <x:c r="V42" s="446"/>
      <x:c r="W42" s="446"/>
      <x:c r="X42" s="453"/>
      <x:c r="Y42" s="633" t="s">
        <x:v>846</x:v>
      </x:c>
      <x:c r="Z42" s="634"/>
      <x:c r="AA42" s="634"/>
      <x:c r="AB42" s="634"/>
      <x:c r="AC42" s="634"/>
      <x:c r="AD42" s="634"/>
      <x:c r="AE42" s="634"/>
      <x:c r="AF42" s="634"/>
      <x:c r="AG42" s="634"/>
      <x:c r="AH42" s="634"/>
      <x:c r="AI42" s="634"/>
      <x:c r="AJ42" s="634"/>
      <x:c r="AK42" s="634"/>
      <x:c r="AL42" s="634"/>
      <x:c r="AM42" s="634"/>
      <x:c r="AN42" s="634"/>
      <x:c r="AO42" s="634"/>
      <x:c r="AP42" s="634"/>
      <x:c r="AQ42" s="634"/>
      <x:c r="AR42" s="634"/>
      <x:c r="AS42" s="635"/>
      <x:c r="AT42" s="545"/>
      <x:c r="AU42" s="546"/>
      <x:c r="AV42" s="546"/>
      <x:c r="AW42" s="547"/>
      <x:c r="AX42" s="513">
        <x:v>80</x:v>
      </x:c>
      <x:c r="AY42" s="514"/>
      <x:c r="AZ42" s="445" t="s">
        <x:v>847</x:v>
      </x:c>
      <x:c r="BA42" s="446" t="s">
        <x:v>848</x:v>
      </x:c>
      <x:c r="BB42" s="446"/>
      <x:c r="BC42" s="446"/>
      <x:c r="BD42" s="446"/>
      <x:c r="BE42" s="446"/>
      <x:c r="BF42" s="446"/>
      <x:c r="BG42" s="446"/>
      <x:c r="BH42" s="446"/>
      <x:c r="BI42" s="446"/>
      <x:c r="BJ42" s="446"/>
      <x:c r="BK42" s="446"/>
      <x:c r="BL42" s="446"/>
      <x:c r="BM42" s="446"/>
      <x:c r="BN42" s="446"/>
      <x:c r="BO42" s="446"/>
      <x:c r="BP42" s="453"/>
      <x:c r="BQ42" s="463"/>
      <x:c r="BR42" s="464"/>
      <x:c r="BS42" s="464"/>
      <x:c r="BT42" s="464"/>
      <x:c r="BU42" s="464"/>
      <x:c r="BV42" s="464"/>
      <x:c r="BW42" s="464"/>
      <x:c r="BX42" s="464"/>
      <x:c r="BY42" s="464"/>
      <x:c r="BZ42" s="464"/>
      <x:c r="CA42" s="464"/>
      <x:c r="CB42" s="464"/>
      <x:c r="CC42" s="464"/>
      <x:c r="CD42" s="464"/>
      <x:c r="CE42" s="464"/>
      <x:c r="CF42" s="464"/>
      <x:c r="CG42" s="464"/>
      <x:c r="CH42" s="464"/>
      <x:c r="CI42" s="464"/>
      <x:c r="CJ42" s="465"/>
      <x:c r="CK42" s="433"/>
    </x:row>
    <x:row r="43" spans="1:98" ht="17.25" customHeight="1">
      <x:c r="A43" s="504"/>
      <x:c r="B43" s="505"/>
      <x:c r="C43" s="505"/>
      <x:c r="D43" s="506"/>
      <x:c r="E43" s="507">
        <x:v>36</x:v>
      </x:c>
      <x:c r="F43" s="581"/>
      <x:c r="G43" s="445" t="s">
        <x:v>849</x:v>
      </x:c>
      <x:c r="H43" s="446" t="s">
        <x:v>850</x:v>
      </x:c>
      <x:c r="I43" s="446"/>
      <x:c r="J43" s="446"/>
      <x:c r="K43" s="446"/>
      <x:c r="L43" s="446"/>
      <x:c r="M43" s="446"/>
      <x:c r="N43" s="446"/>
      <x:c r="O43" s="446"/>
      <x:c r="P43" s="446"/>
      <x:c r="Q43" s="446"/>
      <x:c r="R43" s="446"/>
      <x:c r="S43" s="446"/>
      <x:c r="T43" s="446"/>
      <x:c r="U43" s="446"/>
      <x:c r="V43" s="446"/>
      <x:c r="W43" s="446"/>
      <x:c r="X43" s="453"/>
      <x:c r="Y43" s="518"/>
      <x:c r="Z43" s="519"/>
      <x:c r="AA43" s="519"/>
      <x:c r="AB43" s="519"/>
      <x:c r="AC43" s="519"/>
      <x:c r="AD43" s="519"/>
      <x:c r="AE43" s="519"/>
      <x:c r="AF43" s="519"/>
      <x:c r="AG43" s="519"/>
      <x:c r="AH43" s="519"/>
      <x:c r="AI43" s="519"/>
      <x:c r="AJ43" s="519"/>
      <x:c r="AK43" s="519"/>
      <x:c r="AL43" s="519"/>
      <x:c r="AM43" s="519"/>
      <x:c r="AN43" s="519"/>
      <x:c r="AO43" s="519"/>
      <x:c r="AP43" s="519"/>
      <x:c r="AQ43" s="519"/>
      <x:c r="AR43" s="519"/>
      <x:c r="AS43" s="520"/>
      <x:c r="AT43" s="552"/>
      <x:c r="AU43" s="553"/>
      <x:c r="AV43" s="553"/>
      <x:c r="AW43" s="554"/>
      <x:c r="AX43" s="524">
        <x:v>81</x:v>
      </x:c>
      <x:c r="AY43" s="525"/>
      <x:c r="AZ43" s="476" t="s">
        <x:v>851</x:v>
      </x:c>
      <x:c r="BA43" s="477" t="s">
        <x:v>852</x:v>
      </x:c>
      <x:c r="BB43" s="477"/>
      <x:c r="BC43" s="477"/>
      <x:c r="BD43" s="477"/>
      <x:c r="BE43" s="477"/>
      <x:c r="BF43" s="477"/>
      <x:c r="BG43" s="477"/>
      <x:c r="BH43" s="477"/>
      <x:c r="BI43" s="477"/>
      <x:c r="BJ43" s="477"/>
      <x:c r="BK43" s="477"/>
      <x:c r="BL43" s="477"/>
      <x:c r="BM43" s="477"/>
      <x:c r="BN43" s="477"/>
      <x:c r="BO43" s="477"/>
      <x:c r="BP43" s="478"/>
      <x:c r="BQ43" s="463"/>
      <x:c r="BR43" s="464"/>
      <x:c r="BS43" s="464"/>
      <x:c r="BT43" s="464"/>
      <x:c r="BU43" s="464"/>
      <x:c r="BV43" s="464"/>
      <x:c r="BW43" s="464"/>
      <x:c r="BX43" s="464"/>
      <x:c r="BY43" s="464"/>
      <x:c r="BZ43" s="464"/>
      <x:c r="CA43" s="464"/>
      <x:c r="CB43" s="464"/>
      <x:c r="CC43" s="464"/>
      <x:c r="CD43" s="464"/>
      <x:c r="CE43" s="464"/>
      <x:c r="CF43" s="464"/>
      <x:c r="CG43" s="464"/>
      <x:c r="CH43" s="464"/>
      <x:c r="CI43" s="464"/>
      <x:c r="CJ43" s="465"/>
      <x:c r="CK43" s="433"/>
    </x:row>
    <x:row r="44" spans="1:98">
      <x:c r="A44" s="504"/>
      <x:c r="B44" s="505"/>
      <x:c r="C44" s="505"/>
      <x:c r="D44" s="506"/>
      <x:c r="E44" s="507">
        <x:v>37</x:v>
      </x:c>
      <x:c r="F44" s="581"/>
      <x:c r="G44" s="445" t="s">
        <x:v>853</x:v>
      </x:c>
      <x:c r="H44" s="446" t="s">
        <x:v>854</x:v>
      </x:c>
      <x:c r="I44" s="446"/>
      <x:c r="J44" s="446"/>
      <x:c r="K44" s="446"/>
      <x:c r="L44" s="446"/>
      <x:c r="M44" s="446"/>
      <x:c r="N44" s="446"/>
      <x:c r="O44" s="446"/>
      <x:c r="P44" s="446"/>
      <x:c r="Q44" s="446"/>
      <x:c r="R44" s="446"/>
      <x:c r="S44" s="446"/>
      <x:c r="T44" s="446"/>
      <x:c r="U44" s="446"/>
      <x:c r="V44" s="446"/>
      <x:c r="W44" s="446"/>
      <x:c r="X44" s="453"/>
      <x:c r="Y44" s="653"/>
      <x:c r="Z44" s="654"/>
      <x:c r="AA44" s="654"/>
      <x:c r="AB44" s="654"/>
      <x:c r="AC44" s="654"/>
      <x:c r="AD44" s="654"/>
      <x:c r="AE44" s="654"/>
      <x:c r="AF44" s="654"/>
      <x:c r="AG44" s="654"/>
      <x:c r="AH44" s="654"/>
      <x:c r="AI44" s="654"/>
      <x:c r="AJ44" s="654"/>
      <x:c r="AK44" s="654"/>
      <x:c r="AL44" s="654"/>
      <x:c r="AM44" s="654"/>
      <x:c r="AN44" s="654"/>
      <x:c r="AO44" s="654"/>
      <x:c r="AP44" s="654"/>
      <x:c r="AQ44" s="654"/>
      <x:c r="AR44" s="654"/>
      <x:c r="AS44" s="655"/>
      <x:c r="AT44" s="656" t="s">
        <x:v>855</x:v>
      </x:c>
      <x:c r="AU44" s="657"/>
      <x:c r="AV44" s="657"/>
      <x:c r="AW44" s="658"/>
      <x:c r="AX44" s="532">
        <x:v>82</x:v>
      </x:c>
      <x:c r="AY44" s="533"/>
      <x:c r="AZ44" s="659"/>
      <x:c r="BA44" s="660" t="s">
        <x:v>856</x:v>
      </x:c>
      <x:c r="BB44" s="660"/>
      <x:c r="BC44" s="660"/>
      <x:c r="BD44" s="660"/>
      <x:c r="BE44" s="660"/>
      <x:c r="BF44" s="660"/>
      <x:c r="BG44" s="660"/>
      <x:c r="BH44" s="660"/>
      <x:c r="BI44" s="661"/>
      <x:c r="BJ44" s="662" t="s">
        <x:v>857</x:v>
      </x:c>
      <x:c r="BK44" s="440" t="s">
        <x:v>858</x:v>
      </x:c>
      <x:c r="BL44" s="440"/>
      <x:c r="BM44" s="440"/>
      <x:c r="BN44" s="440"/>
      <x:c r="BO44" s="440"/>
      <x:c r="BP44" s="441"/>
      <x:c r="BQ44" s="500"/>
      <x:c r="BR44" s="501"/>
      <x:c r="BS44" s="501"/>
      <x:c r="BT44" s="501"/>
      <x:c r="BU44" s="501"/>
      <x:c r="BV44" s="501"/>
      <x:c r="BW44" s="501"/>
      <x:c r="BX44" s="501"/>
      <x:c r="BY44" s="501"/>
      <x:c r="BZ44" s="501"/>
      <x:c r="CA44" s="501"/>
      <x:c r="CB44" s="501"/>
      <x:c r="CC44" s="501"/>
      <x:c r="CD44" s="501"/>
      <x:c r="CE44" s="501"/>
      <x:c r="CF44" s="501"/>
      <x:c r="CG44" s="501"/>
      <x:c r="CH44" s="501"/>
      <x:c r="CI44" s="501"/>
      <x:c r="CJ44" s="502"/>
      <x:c r="CK44" s="433"/>
    </x:row>
    <x:row r="45" spans="1:98">
      <x:c r="A45" s="504"/>
      <x:c r="B45" s="505"/>
      <x:c r="C45" s="505"/>
      <x:c r="D45" s="506"/>
      <x:c r="E45" s="507">
        <x:v>38</x:v>
      </x:c>
      <x:c r="F45" s="581"/>
      <x:c r="G45" s="445" t="s">
        <x:v>859</x:v>
      </x:c>
      <x:c r="H45" s="446" t="s">
        <x:v>860</x:v>
      </x:c>
      <x:c r="I45" s="446"/>
      <x:c r="J45" s="446"/>
      <x:c r="K45" s="446"/>
      <x:c r="L45" s="446"/>
      <x:c r="M45" s="446"/>
      <x:c r="N45" s="446"/>
      <x:c r="O45" s="446"/>
      <x:c r="P45" s="446"/>
      <x:c r="Q45" s="446"/>
      <x:c r="R45" s="446"/>
      <x:c r="S45" s="446"/>
      <x:c r="T45" s="446"/>
      <x:c r="U45" s="446"/>
      <x:c r="V45" s="446"/>
      <x:c r="W45" s="446"/>
      <x:c r="X45" s="453"/>
      <x:c r="Y45" s="633" t="s"/>
      <x:c r="Z45" s="634"/>
      <x:c r="AA45" s="634"/>
      <x:c r="AB45" s="634"/>
      <x:c r="AC45" s="634"/>
      <x:c r="AD45" s="634"/>
      <x:c r="AE45" s="634"/>
      <x:c r="AF45" s="634"/>
      <x:c r="AG45" s="634"/>
      <x:c r="AH45" s="634"/>
      <x:c r="AI45" s="634"/>
      <x:c r="AJ45" s="634"/>
      <x:c r="AK45" s="634"/>
      <x:c r="AL45" s="634"/>
      <x:c r="AM45" s="634"/>
      <x:c r="AN45" s="634"/>
      <x:c r="AO45" s="634"/>
      <x:c r="AP45" s="634"/>
      <x:c r="AQ45" s="634"/>
      <x:c r="AR45" s="634"/>
      <x:c r="AS45" s="635"/>
      <x:c r="AT45" s="663"/>
      <x:c r="AU45" s="664"/>
      <x:c r="AV45" s="664"/>
      <x:c r="AW45" s="665"/>
      <x:c r="AX45" s="513">
        <x:v>83</x:v>
      </x:c>
      <x:c r="AY45" s="514"/>
      <x:c r="AZ45" s="659"/>
      <x:c r="BA45" s="660"/>
      <x:c r="BB45" s="660"/>
      <x:c r="BC45" s="660"/>
      <x:c r="BD45" s="660"/>
      <x:c r="BE45" s="660"/>
      <x:c r="BF45" s="660"/>
      <x:c r="BG45" s="660"/>
      <x:c r="BH45" s="660"/>
      <x:c r="BI45" s="661"/>
      <x:c r="BJ45" s="462"/>
      <x:c r="BK45" s="446" t="s">
        <x:v>861</x:v>
      </x:c>
      <x:c r="BL45" s="446"/>
      <x:c r="BM45" s="446"/>
      <x:c r="BN45" s="446"/>
      <x:c r="BO45" s="446"/>
      <x:c r="BP45" s="453"/>
      <x:c r="BQ45" s="518"/>
      <x:c r="BR45" s="519"/>
      <x:c r="BS45" s="519"/>
      <x:c r="BT45" s="519"/>
      <x:c r="BU45" s="519"/>
      <x:c r="BV45" s="519"/>
      <x:c r="BW45" s="519"/>
      <x:c r="BX45" s="519"/>
      <x:c r="BY45" s="519"/>
      <x:c r="BZ45" s="519"/>
      <x:c r="CA45" s="519"/>
      <x:c r="CB45" s="519"/>
      <x:c r="CC45" s="519"/>
      <x:c r="CD45" s="519"/>
      <x:c r="CE45" s="519"/>
      <x:c r="CF45" s="519"/>
      <x:c r="CG45" s="519"/>
      <x:c r="CH45" s="519"/>
      <x:c r="CI45" s="519"/>
      <x:c r="CJ45" s="520"/>
      <x:c r="CK45" s="433"/>
    </x:row>
    <x:row r="46" spans="1:98">
      <x:c r="A46" s="504"/>
      <x:c r="B46" s="505"/>
      <x:c r="C46" s="505"/>
      <x:c r="D46" s="506"/>
      <x:c r="E46" s="507">
        <x:v>39</x:v>
      </x:c>
      <x:c r="F46" s="581"/>
      <x:c r="G46" s="445" t="s">
        <x:v>862</x:v>
      </x:c>
      <x:c r="H46" s="446" t="s">
        <x:v>863</x:v>
      </x:c>
      <x:c r="I46" s="446"/>
      <x:c r="J46" s="446"/>
      <x:c r="K46" s="446"/>
      <x:c r="L46" s="446"/>
      <x:c r="M46" s="446"/>
      <x:c r="N46" s="446"/>
      <x:c r="O46" s="446"/>
      <x:c r="P46" s="446"/>
      <x:c r="Q46" s="446"/>
      <x:c r="R46" s="446"/>
      <x:c r="S46" s="446"/>
      <x:c r="T46" s="446"/>
      <x:c r="U46" s="446"/>
      <x:c r="V46" s="446"/>
      <x:c r="W46" s="446"/>
      <x:c r="X46" s="453"/>
      <x:c r="Y46" s="633"/>
      <x:c r="Z46" s="634"/>
      <x:c r="AA46" s="634"/>
      <x:c r="AB46" s="634"/>
      <x:c r="AC46" s="634"/>
      <x:c r="AD46" s="634"/>
      <x:c r="AE46" s="634"/>
      <x:c r="AF46" s="634"/>
      <x:c r="AG46" s="634"/>
      <x:c r="AH46" s="634"/>
      <x:c r="AI46" s="634"/>
      <x:c r="AJ46" s="634"/>
      <x:c r="AK46" s="634"/>
      <x:c r="AL46" s="634"/>
      <x:c r="AM46" s="634"/>
      <x:c r="AN46" s="634"/>
      <x:c r="AO46" s="634"/>
      <x:c r="AP46" s="634"/>
      <x:c r="AQ46" s="634"/>
      <x:c r="AR46" s="634"/>
      <x:c r="AS46" s="635"/>
      <x:c r="AT46" s="663"/>
      <x:c r="AU46" s="664"/>
      <x:c r="AV46" s="664"/>
      <x:c r="AW46" s="665"/>
      <x:c r="AX46" s="513">
        <x:v>84</x:v>
      </x:c>
      <x:c r="AY46" s="514"/>
      <x:c r="AZ46" s="659"/>
      <x:c r="BA46" s="660"/>
      <x:c r="BB46" s="660"/>
      <x:c r="BC46" s="660"/>
      <x:c r="BD46" s="660"/>
      <x:c r="BE46" s="660"/>
      <x:c r="BF46" s="660"/>
      <x:c r="BG46" s="660"/>
      <x:c r="BH46" s="660"/>
      <x:c r="BI46" s="661"/>
      <x:c r="BJ46" s="462"/>
      <x:c r="BK46" s="446" t="s">
        <x:v>864</x:v>
      </x:c>
      <x:c r="BL46" s="446"/>
      <x:c r="BM46" s="446"/>
      <x:c r="BN46" s="446"/>
      <x:c r="BO46" s="446"/>
      <x:c r="BP46" s="453"/>
      <x:c r="BQ46" s="518"/>
      <x:c r="BR46" s="519"/>
      <x:c r="BS46" s="519"/>
      <x:c r="BT46" s="519"/>
      <x:c r="BU46" s="519"/>
      <x:c r="BV46" s="519"/>
      <x:c r="BW46" s="519"/>
      <x:c r="BX46" s="519"/>
      <x:c r="BY46" s="519"/>
      <x:c r="BZ46" s="519"/>
      <x:c r="CA46" s="519"/>
      <x:c r="CB46" s="519"/>
      <x:c r="CC46" s="519"/>
      <x:c r="CD46" s="519"/>
      <x:c r="CE46" s="519"/>
      <x:c r="CF46" s="519"/>
      <x:c r="CG46" s="519"/>
      <x:c r="CH46" s="519"/>
      <x:c r="CI46" s="519"/>
      <x:c r="CJ46" s="520"/>
      <x:c r="CK46" s="433"/>
    </x:row>
    <x:row r="47" spans="1:98">
      <x:c r="A47" s="504"/>
      <x:c r="B47" s="505"/>
      <x:c r="C47" s="505"/>
      <x:c r="D47" s="506"/>
      <x:c r="E47" s="507">
        <x:v>40</x:v>
      </x:c>
      <x:c r="F47" s="581"/>
      <x:c r="G47" s="445" t="s">
        <x:v>865</x:v>
      </x:c>
      <x:c r="H47" s="446" t="s">
        <x:v>866</x:v>
      </x:c>
      <x:c r="I47" s="446"/>
      <x:c r="J47" s="446"/>
      <x:c r="K47" s="446"/>
      <x:c r="L47" s="446"/>
      <x:c r="M47" s="446"/>
      <x:c r="N47" s="446"/>
      <x:c r="O47" s="446"/>
      <x:c r="P47" s="446"/>
      <x:c r="Q47" s="446"/>
      <x:c r="R47" s="446"/>
      <x:c r="S47" s="446"/>
      <x:c r="T47" s="446"/>
      <x:c r="U47" s="446"/>
      <x:c r="V47" s="446"/>
      <x:c r="W47" s="446"/>
      <x:c r="X47" s="453"/>
      <x:c r="Y47" s="633"/>
      <x:c r="Z47" s="634"/>
      <x:c r="AA47" s="634"/>
      <x:c r="AB47" s="634"/>
      <x:c r="AC47" s="634"/>
      <x:c r="AD47" s="634"/>
      <x:c r="AE47" s="634"/>
      <x:c r="AF47" s="634"/>
      <x:c r="AG47" s="634"/>
      <x:c r="AH47" s="634"/>
      <x:c r="AI47" s="634"/>
      <x:c r="AJ47" s="634"/>
      <x:c r="AK47" s="634"/>
      <x:c r="AL47" s="634"/>
      <x:c r="AM47" s="634"/>
      <x:c r="AN47" s="634"/>
      <x:c r="AO47" s="634"/>
      <x:c r="AP47" s="634"/>
      <x:c r="AQ47" s="634"/>
      <x:c r="AR47" s="634"/>
      <x:c r="AS47" s="635"/>
      <x:c r="AT47" s="663"/>
      <x:c r="AU47" s="664"/>
      <x:c r="AV47" s="664"/>
      <x:c r="AW47" s="665"/>
      <x:c r="AX47" s="513">
        <x:v>85</x:v>
      </x:c>
      <x:c r="AY47" s="514"/>
      <x:c r="AZ47" s="534" t="s">
        <x:v>867</x:v>
      </x:c>
      <x:c r="BA47" s="666"/>
      <x:c r="BB47" s="666"/>
      <x:c r="BC47" s="666"/>
      <x:c r="BD47" s="666"/>
      <x:c r="BE47" s="666"/>
      <x:c r="BF47" s="666"/>
      <x:c r="BG47" s="666"/>
      <x:c r="BH47" s="666"/>
      <x:c r="BI47" s="667"/>
      <x:c r="BJ47" s="462"/>
      <x:c r="BK47" s="446" t="s">
        <x:v>868</x:v>
      </x:c>
      <x:c r="BL47" s="446"/>
      <x:c r="BM47" s="446"/>
      <x:c r="BN47" s="446"/>
      <x:c r="BO47" s="446"/>
      <x:c r="BP47" s="453"/>
      <x:c r="BQ47" s="518"/>
      <x:c r="BR47" s="519"/>
      <x:c r="BS47" s="519"/>
      <x:c r="BT47" s="519"/>
      <x:c r="BU47" s="519"/>
      <x:c r="BV47" s="519"/>
      <x:c r="BW47" s="519"/>
      <x:c r="BX47" s="519"/>
      <x:c r="BY47" s="519"/>
      <x:c r="BZ47" s="519"/>
      <x:c r="CA47" s="519"/>
      <x:c r="CB47" s="519"/>
      <x:c r="CC47" s="519"/>
      <x:c r="CD47" s="519"/>
      <x:c r="CE47" s="519"/>
      <x:c r="CF47" s="519"/>
      <x:c r="CG47" s="519"/>
      <x:c r="CH47" s="519"/>
      <x:c r="CI47" s="519"/>
      <x:c r="CJ47" s="520"/>
      <x:c r="CK47" s="433"/>
    </x:row>
    <x:row r="48" spans="1:98">
      <x:c r="A48" s="504"/>
      <x:c r="B48" s="505"/>
      <x:c r="C48" s="505"/>
      <x:c r="D48" s="506"/>
      <x:c r="E48" s="507">
        <x:v>41</x:v>
      </x:c>
      <x:c r="F48" s="581"/>
      <x:c r="G48" s="445" t="s">
        <x:v>869</x:v>
      </x:c>
      <x:c r="H48" s="446" t="s">
        <x:v>870</x:v>
      </x:c>
      <x:c r="I48" s="446"/>
      <x:c r="J48" s="446"/>
      <x:c r="K48" s="446"/>
      <x:c r="L48" s="446"/>
      <x:c r="M48" s="446"/>
      <x:c r="N48" s="446"/>
      <x:c r="O48" s="446"/>
      <x:c r="P48" s="446"/>
      <x:c r="Q48" s="446"/>
      <x:c r="R48" s="446"/>
      <x:c r="S48" s="446"/>
      <x:c r="T48" s="446"/>
      <x:c r="U48" s="446"/>
      <x:c r="V48" s="446"/>
      <x:c r="W48" s="446"/>
      <x:c r="X48" s="453"/>
      <x:c r="Y48" s="633"/>
      <x:c r="Z48" s="634"/>
      <x:c r="AA48" s="634"/>
      <x:c r="AB48" s="634"/>
      <x:c r="AC48" s="634"/>
      <x:c r="AD48" s="634"/>
      <x:c r="AE48" s="634"/>
      <x:c r="AF48" s="634"/>
      <x:c r="AG48" s="634"/>
      <x:c r="AH48" s="634"/>
      <x:c r="AI48" s="634"/>
      <x:c r="AJ48" s="634"/>
      <x:c r="AK48" s="634"/>
      <x:c r="AL48" s="634"/>
      <x:c r="AM48" s="634"/>
      <x:c r="AN48" s="634"/>
      <x:c r="AO48" s="634"/>
      <x:c r="AP48" s="634"/>
      <x:c r="AQ48" s="634"/>
      <x:c r="AR48" s="634"/>
      <x:c r="AS48" s="635"/>
      <x:c r="AT48" s="663"/>
      <x:c r="AU48" s="664"/>
      <x:c r="AV48" s="664"/>
      <x:c r="AW48" s="665"/>
      <x:c r="AX48" s="513">
        <x:v>86</x:v>
      </x:c>
      <x:c r="AY48" s="514"/>
      <x:c r="AZ48" s="445" t="s">
        <x:v>871</x:v>
      </x:c>
      <x:c r="BA48" s="446" t="s">
        <x:v>872</x:v>
      </x:c>
      <x:c r="BB48" s="446"/>
      <x:c r="BC48" s="446"/>
      <x:c r="BD48" s="446"/>
      <x:c r="BE48" s="446"/>
      <x:c r="BF48" s="446"/>
      <x:c r="BG48" s="446"/>
      <x:c r="BH48" s="446"/>
      <x:c r="BI48" s="446"/>
      <x:c r="BJ48" s="446"/>
      <x:c r="BK48" s="446"/>
      <x:c r="BL48" s="446"/>
      <x:c r="BM48" s="446"/>
      <x:c r="BN48" s="446"/>
      <x:c r="BO48" s="446"/>
      <x:c r="BP48" s="453"/>
      <x:c r="BQ48" s="518"/>
      <x:c r="BR48" s="519"/>
      <x:c r="BS48" s="519"/>
      <x:c r="BT48" s="519"/>
      <x:c r="BU48" s="519"/>
      <x:c r="BV48" s="519"/>
      <x:c r="BW48" s="519"/>
      <x:c r="BX48" s="519"/>
      <x:c r="BY48" s="519"/>
      <x:c r="BZ48" s="519"/>
      <x:c r="CA48" s="519"/>
      <x:c r="CB48" s="519"/>
      <x:c r="CC48" s="519"/>
      <x:c r="CD48" s="519"/>
      <x:c r="CE48" s="519"/>
      <x:c r="CF48" s="519"/>
      <x:c r="CG48" s="519"/>
      <x:c r="CH48" s="519"/>
      <x:c r="CI48" s="519"/>
      <x:c r="CJ48" s="520"/>
      <x:c r="CK48" s="433"/>
    </x:row>
    <x:row r="49" spans="1:98">
      <x:c r="A49" s="504"/>
      <x:c r="B49" s="505"/>
      <x:c r="C49" s="505"/>
      <x:c r="D49" s="506"/>
      <x:c r="E49" s="507">
        <x:v>42</x:v>
      </x:c>
      <x:c r="F49" s="581"/>
      <x:c r="G49" s="445" t="s">
        <x:v>873</x:v>
      </x:c>
      <x:c r="H49" s="446" t="s">
        <x:v>874</x:v>
      </x:c>
      <x:c r="I49" s="446"/>
      <x:c r="J49" s="446"/>
      <x:c r="K49" s="446"/>
      <x:c r="L49" s="446"/>
      <x:c r="M49" s="446"/>
      <x:c r="N49" s="446"/>
      <x:c r="O49" s="446"/>
      <x:c r="P49" s="446"/>
      <x:c r="Q49" s="446"/>
      <x:c r="R49" s="446"/>
      <x:c r="S49" s="446"/>
      <x:c r="T49" s="446"/>
      <x:c r="U49" s="446"/>
      <x:c r="V49" s="446"/>
      <x:c r="W49" s="446"/>
      <x:c r="X49" s="453"/>
      <x:c r="Y49" s="633"/>
      <x:c r="Z49" s="634"/>
      <x:c r="AA49" s="634"/>
      <x:c r="AB49" s="634"/>
      <x:c r="AC49" s="634"/>
      <x:c r="AD49" s="634"/>
      <x:c r="AE49" s="634"/>
      <x:c r="AF49" s="634"/>
      <x:c r="AG49" s="634"/>
      <x:c r="AH49" s="634"/>
      <x:c r="AI49" s="634"/>
      <x:c r="AJ49" s="634"/>
      <x:c r="AK49" s="634"/>
      <x:c r="AL49" s="634"/>
      <x:c r="AM49" s="634"/>
      <x:c r="AN49" s="634"/>
      <x:c r="AO49" s="634"/>
      <x:c r="AP49" s="634"/>
      <x:c r="AQ49" s="634"/>
      <x:c r="AR49" s="634"/>
      <x:c r="AS49" s="635"/>
      <x:c r="AT49" s="663"/>
      <x:c r="AU49" s="664"/>
      <x:c r="AV49" s="664"/>
      <x:c r="AW49" s="665"/>
      <x:c r="AX49" s="513">
        <x:v>87</x:v>
      </x:c>
      <x:c r="AY49" s="514"/>
      <x:c r="AZ49" s="445"/>
      <x:c r="BA49" s="446" t="s">
        <x:v>875</x:v>
      </x:c>
      <x:c r="BB49" s="446"/>
      <x:c r="BC49" s="446"/>
      <x:c r="BD49" s="446"/>
      <x:c r="BE49" s="446"/>
      <x:c r="BF49" s="446"/>
      <x:c r="BG49" s="446"/>
      <x:c r="BH49" s="446"/>
      <x:c r="BI49" s="446"/>
      <x:c r="BJ49" s="446"/>
      <x:c r="BK49" s="446"/>
      <x:c r="BL49" s="446"/>
      <x:c r="BM49" s="446"/>
      <x:c r="BN49" s="446"/>
      <x:c r="BO49" s="446"/>
      <x:c r="BP49" s="453"/>
      <x:c r="BQ49" s="463"/>
      <x:c r="BR49" s="464"/>
      <x:c r="BS49" s="464"/>
      <x:c r="BT49" s="464"/>
      <x:c r="BU49" s="464"/>
      <x:c r="BV49" s="464"/>
      <x:c r="BW49" s="464"/>
      <x:c r="BX49" s="464"/>
      <x:c r="BY49" s="464"/>
      <x:c r="BZ49" s="464"/>
      <x:c r="CA49" s="464"/>
      <x:c r="CB49" s="464"/>
      <x:c r="CC49" s="464"/>
      <x:c r="CD49" s="464"/>
      <x:c r="CE49" s="464"/>
      <x:c r="CF49" s="464"/>
      <x:c r="CG49" s="464"/>
      <x:c r="CH49" s="464"/>
      <x:c r="CI49" s="464"/>
      <x:c r="CJ49" s="465"/>
      <x:c r="CK49" s="433"/>
    </x:row>
    <x:row r="50" spans="1:98">
      <x:c r="A50" s="504"/>
      <x:c r="B50" s="505"/>
      <x:c r="C50" s="505"/>
      <x:c r="D50" s="506"/>
      <x:c r="E50" s="507">
        <x:v>43</x:v>
      </x:c>
      <x:c r="F50" s="581"/>
      <x:c r="G50" s="445" t="s">
        <x:v>876</x:v>
      </x:c>
      <x:c r="H50" s="446" t="s">
        <x:v>877</x:v>
      </x:c>
      <x:c r="I50" s="446"/>
      <x:c r="J50" s="446"/>
      <x:c r="K50" s="446"/>
      <x:c r="L50" s="446"/>
      <x:c r="M50" s="446"/>
      <x:c r="N50" s="446"/>
      <x:c r="O50" s="446"/>
      <x:c r="P50" s="446"/>
      <x:c r="Q50" s="446"/>
      <x:c r="R50" s="446"/>
      <x:c r="S50" s="446"/>
      <x:c r="T50" s="446"/>
      <x:c r="U50" s="446"/>
      <x:c r="V50" s="446"/>
      <x:c r="W50" s="446"/>
      <x:c r="X50" s="453"/>
      <x:c r="Y50" s="633"/>
      <x:c r="Z50" s="634"/>
      <x:c r="AA50" s="634"/>
      <x:c r="AB50" s="634"/>
      <x:c r="AC50" s="634"/>
      <x:c r="AD50" s="634"/>
      <x:c r="AE50" s="634"/>
      <x:c r="AF50" s="634"/>
      <x:c r="AG50" s="634"/>
      <x:c r="AH50" s="634"/>
      <x:c r="AI50" s="634"/>
      <x:c r="AJ50" s="634"/>
      <x:c r="AK50" s="634"/>
      <x:c r="AL50" s="634"/>
      <x:c r="AM50" s="634"/>
      <x:c r="AN50" s="634"/>
      <x:c r="AO50" s="634"/>
      <x:c r="AP50" s="634"/>
      <x:c r="AQ50" s="634"/>
      <x:c r="AR50" s="634"/>
      <x:c r="AS50" s="635"/>
      <x:c r="AT50" s="663"/>
      <x:c r="AU50" s="664"/>
      <x:c r="AV50" s="664"/>
      <x:c r="AW50" s="665"/>
      <x:c r="AX50" s="513">
        <x:v>88</x:v>
      </x:c>
      <x:c r="AY50" s="514"/>
      <x:c r="AZ50" s="445"/>
      <x:c r="BA50" s="446" t="s">
        <x:v>878</x:v>
      </x:c>
      <x:c r="BB50" s="446"/>
      <x:c r="BC50" s="446"/>
      <x:c r="BD50" s="446"/>
      <x:c r="BE50" s="446"/>
      <x:c r="BF50" s="446"/>
      <x:c r="BG50" s="446"/>
      <x:c r="BH50" s="446"/>
      <x:c r="BI50" s="446"/>
      <x:c r="BJ50" s="446"/>
      <x:c r="BK50" s="446"/>
      <x:c r="BL50" s="446"/>
      <x:c r="BM50" s="446"/>
      <x:c r="BN50" s="446"/>
      <x:c r="BO50" s="446"/>
      <x:c r="BP50" s="453"/>
      <x:c r="BQ50" s="463"/>
      <x:c r="BR50" s="464"/>
      <x:c r="BS50" s="464"/>
      <x:c r="BT50" s="464"/>
      <x:c r="BU50" s="464"/>
      <x:c r="BV50" s="464"/>
      <x:c r="BW50" s="464"/>
      <x:c r="BX50" s="464"/>
      <x:c r="BY50" s="464"/>
      <x:c r="BZ50" s="464"/>
      <x:c r="CA50" s="464"/>
      <x:c r="CB50" s="464"/>
      <x:c r="CC50" s="464"/>
      <x:c r="CD50" s="464"/>
      <x:c r="CE50" s="464"/>
      <x:c r="CF50" s="464"/>
      <x:c r="CG50" s="464"/>
      <x:c r="CH50" s="464"/>
      <x:c r="CI50" s="464"/>
      <x:c r="CJ50" s="465"/>
      <x:c r="CK50" s="433"/>
    </x:row>
    <x:row r="51" spans="1:98">
      <x:c r="A51" s="504"/>
      <x:c r="B51" s="505"/>
      <x:c r="C51" s="505"/>
      <x:c r="D51" s="506"/>
      <x:c r="E51" s="507">
        <x:v>44</x:v>
      </x:c>
      <x:c r="F51" s="581"/>
      <x:c r="G51" s="445"/>
      <x:c r="H51" s="446"/>
      <x:c r="I51" s="446"/>
      <x:c r="J51" s="446"/>
      <x:c r="K51" s="446"/>
      <x:c r="L51" s="446"/>
      <x:c r="M51" s="446"/>
      <x:c r="N51" s="446"/>
      <x:c r="O51" s="446"/>
      <x:c r="P51" s="446"/>
      <x:c r="Q51" s="446"/>
      <x:c r="R51" s="446"/>
      <x:c r="S51" s="446"/>
      <x:c r="T51" s="446"/>
      <x:c r="U51" s="446"/>
      <x:c r="V51" s="446"/>
      <x:c r="W51" s="446"/>
      <x:c r="X51" s="453"/>
      <x:c r="Y51" s="633"/>
      <x:c r="Z51" s="634"/>
      <x:c r="AA51" s="634"/>
      <x:c r="AB51" s="634"/>
      <x:c r="AC51" s="634"/>
      <x:c r="AD51" s="634"/>
      <x:c r="AE51" s="634"/>
      <x:c r="AF51" s="634"/>
      <x:c r="AG51" s="634"/>
      <x:c r="AH51" s="634"/>
      <x:c r="AI51" s="634"/>
      <x:c r="AJ51" s="634"/>
      <x:c r="AK51" s="634"/>
      <x:c r="AL51" s="634"/>
      <x:c r="AM51" s="634"/>
      <x:c r="AN51" s="634"/>
      <x:c r="AO51" s="634"/>
      <x:c r="AP51" s="634"/>
      <x:c r="AQ51" s="634"/>
      <x:c r="AR51" s="634"/>
      <x:c r="AS51" s="635"/>
      <x:c r="AT51" s="663"/>
      <x:c r="AU51" s="664"/>
      <x:c r="AV51" s="664"/>
      <x:c r="AW51" s="665"/>
      <x:c r="AX51" s="532">
        <x:v>89</x:v>
      </x:c>
      <x:c r="AY51" s="533"/>
      <x:c r="AZ51" s="534"/>
      <x:c r="BA51" s="440"/>
      <x:c r="BB51" s="440"/>
      <x:c r="BC51" s="440"/>
      <x:c r="BD51" s="440"/>
      <x:c r="BE51" s="440"/>
      <x:c r="BF51" s="440"/>
      <x:c r="BG51" s="440"/>
      <x:c r="BH51" s="440"/>
      <x:c r="BI51" s="440"/>
      <x:c r="BJ51" s="440"/>
      <x:c r="BK51" s="440"/>
      <x:c r="BL51" s="440"/>
      <x:c r="BM51" s="440"/>
      <x:c r="BN51" s="440"/>
      <x:c r="BO51" s="440"/>
      <x:c r="BP51" s="441"/>
      <x:c r="BQ51" s="599"/>
      <x:c r="BR51" s="600"/>
      <x:c r="BS51" s="600"/>
      <x:c r="BT51" s="600"/>
      <x:c r="BU51" s="600"/>
      <x:c r="BV51" s="600"/>
      <x:c r="BW51" s="600"/>
      <x:c r="BX51" s="600"/>
      <x:c r="BY51" s="600"/>
      <x:c r="BZ51" s="600"/>
      <x:c r="CA51" s="600"/>
      <x:c r="CB51" s="600"/>
      <x:c r="CC51" s="600"/>
      <x:c r="CD51" s="600"/>
      <x:c r="CE51" s="600"/>
      <x:c r="CF51" s="600"/>
      <x:c r="CG51" s="600"/>
      <x:c r="CH51" s="600"/>
      <x:c r="CI51" s="600"/>
      <x:c r="CJ51" s="668"/>
      <x:c r="CK51" s="433"/>
    </x:row>
    <x:row r="52" spans="1:98" ht="17.25" customHeight="1">
      <x:c r="A52" s="521"/>
      <x:c r="B52" s="522"/>
      <x:c r="C52" s="522"/>
      <x:c r="D52" s="523"/>
      <x:c r="E52" s="562">
        <x:v>45</x:v>
      </x:c>
      <x:c r="F52" s="605"/>
      <x:c r="G52" s="476"/>
      <x:c r="H52" s="477"/>
      <x:c r="I52" s="477"/>
      <x:c r="J52" s="477"/>
      <x:c r="K52" s="477"/>
      <x:c r="L52" s="477"/>
      <x:c r="M52" s="477"/>
      <x:c r="N52" s="477"/>
      <x:c r="O52" s="477"/>
      <x:c r="P52" s="477"/>
      <x:c r="Q52" s="477"/>
      <x:c r="R52" s="477"/>
      <x:c r="S52" s="477"/>
      <x:c r="T52" s="477"/>
      <x:c r="U52" s="477"/>
      <x:c r="V52" s="477"/>
      <x:c r="W52" s="477"/>
      <x:c r="X52" s="478"/>
      <x:c r="Y52" s="669"/>
      <x:c r="Z52" s="670"/>
      <x:c r="AA52" s="670"/>
      <x:c r="AB52" s="670"/>
      <x:c r="AC52" s="670"/>
      <x:c r="AD52" s="670"/>
      <x:c r="AE52" s="670"/>
      <x:c r="AF52" s="670"/>
      <x:c r="AG52" s="670"/>
      <x:c r="AH52" s="670"/>
      <x:c r="AI52" s="670"/>
      <x:c r="AJ52" s="670"/>
      <x:c r="AK52" s="670"/>
      <x:c r="AL52" s="670"/>
      <x:c r="AM52" s="670"/>
      <x:c r="AN52" s="670"/>
      <x:c r="AO52" s="670"/>
      <x:c r="AP52" s="670"/>
      <x:c r="AQ52" s="670"/>
      <x:c r="AR52" s="670"/>
      <x:c r="AS52" s="671"/>
      <x:c r="AT52" s="672"/>
      <x:c r="AU52" s="673"/>
      <x:c r="AV52" s="673"/>
      <x:c r="AW52" s="674"/>
      <x:c r="AX52" s="524">
        <x:v>90</x:v>
      </x:c>
      <x:c r="AY52" s="525"/>
      <x:c r="AZ52" s="675"/>
      <x:c r="BA52" s="676"/>
      <x:c r="BB52" s="676"/>
      <x:c r="BC52" s="676"/>
      <x:c r="BD52" s="676"/>
      <x:c r="BE52" s="676"/>
      <x:c r="BF52" s="676"/>
      <x:c r="BG52" s="676"/>
      <x:c r="BH52" s="676"/>
      <x:c r="BI52" s="676"/>
      <x:c r="BJ52" s="676"/>
      <x:c r="BK52" s="676"/>
      <x:c r="BL52" s="676"/>
      <x:c r="BM52" s="676"/>
      <x:c r="BN52" s="676"/>
      <x:c r="BO52" s="676"/>
      <x:c r="BP52" s="677"/>
      <x:c r="BQ52" s="678"/>
      <x:c r="BR52" s="679"/>
      <x:c r="BS52" s="679"/>
      <x:c r="BT52" s="679"/>
      <x:c r="BU52" s="679"/>
      <x:c r="BV52" s="679"/>
      <x:c r="BW52" s="679"/>
      <x:c r="BX52" s="679"/>
      <x:c r="BY52" s="679"/>
      <x:c r="BZ52" s="679"/>
      <x:c r="CA52" s="679"/>
      <x:c r="CB52" s="679"/>
      <x:c r="CC52" s="679"/>
      <x:c r="CD52" s="679"/>
      <x:c r="CE52" s="679"/>
      <x:c r="CF52" s="679"/>
      <x:c r="CG52" s="679"/>
      <x:c r="CH52" s="679"/>
      <x:c r="CI52" s="679"/>
      <x:c r="CJ52" s="680"/>
      <x:c r="CK52" s="433"/>
    </x:row>
    <x:row r="53" spans="1:98">
      <x:c r="A53" s="681" t="s">
        <x:v>879</x:v>
      </x:c>
      <x:c r="B53" s="682"/>
      <x:c r="C53" s="682"/>
      <x:c r="D53" s="683"/>
      <x:c r="E53" s="684"/>
      <x:c r="F53" s="685"/>
      <x:c r="G53" s="685"/>
      <x:c r="H53" s="685"/>
      <x:c r="I53" s="685"/>
      <x:c r="J53" s="685"/>
      <x:c r="K53" s="685"/>
      <x:c r="L53" s="685"/>
      <x:c r="M53" s="685"/>
      <x:c r="N53" s="685"/>
      <x:c r="O53" s="685"/>
      <x:c r="P53" s="685"/>
      <x:c r="Q53" s="685"/>
      <x:c r="R53" s="685"/>
      <x:c r="S53" s="685"/>
      <x:c r="T53" s="685"/>
      <x:c r="U53" s="685"/>
      <x:c r="V53" s="685"/>
      <x:c r="W53" s="685"/>
      <x:c r="X53" s="685"/>
      <x:c r="Y53" s="685"/>
      <x:c r="Z53" s="685"/>
      <x:c r="AA53" s="685"/>
      <x:c r="AB53" s="685"/>
      <x:c r="AC53" s="685"/>
      <x:c r="AD53" s="685"/>
      <x:c r="AE53" s="685"/>
      <x:c r="AF53" s="685"/>
      <x:c r="AG53" s="685"/>
      <x:c r="AH53" s="685"/>
      <x:c r="AI53" s="685"/>
      <x:c r="AJ53" s="685"/>
      <x:c r="AK53" s="685"/>
      <x:c r="AL53" s="685"/>
      <x:c r="AM53" s="685"/>
      <x:c r="AN53" s="685"/>
      <x:c r="AO53" s="685"/>
      <x:c r="AP53" s="685"/>
      <x:c r="AQ53" s="685"/>
      <x:c r="AR53" s="685"/>
      <x:c r="AS53" s="685"/>
      <x:c r="AT53" s="685"/>
      <x:c r="AU53" s="685"/>
      <x:c r="AV53" s="685"/>
      <x:c r="AW53" s="685"/>
      <x:c r="AX53" s="685"/>
      <x:c r="AY53" s="685"/>
      <x:c r="AZ53" s="685"/>
      <x:c r="BA53" s="685"/>
      <x:c r="BB53" s="685"/>
      <x:c r="BC53" s="685"/>
      <x:c r="BD53" s="685"/>
      <x:c r="BE53" s="685"/>
      <x:c r="BF53" s="685"/>
      <x:c r="BG53" s="685"/>
      <x:c r="BH53" s="685"/>
      <x:c r="BI53" s="685"/>
      <x:c r="BJ53" s="685"/>
      <x:c r="BK53" s="685"/>
      <x:c r="BL53" s="685"/>
      <x:c r="BM53" s="685"/>
      <x:c r="BN53" s="685"/>
      <x:c r="BO53" s="685"/>
      <x:c r="BP53" s="685"/>
      <x:c r="BQ53" s="685"/>
      <x:c r="BR53" s="685"/>
      <x:c r="BS53" s="685"/>
      <x:c r="BT53" s="685"/>
      <x:c r="BU53" s="685"/>
      <x:c r="BV53" s="685"/>
      <x:c r="BW53" s="685"/>
      <x:c r="BX53" s="685"/>
      <x:c r="BY53" s="685"/>
      <x:c r="BZ53" s="685"/>
      <x:c r="CA53" s="685"/>
      <x:c r="CB53" s="685"/>
      <x:c r="CC53" s="685"/>
      <x:c r="CD53" s="685"/>
      <x:c r="CE53" s="685"/>
      <x:c r="CF53" s="685"/>
      <x:c r="CG53" s="685"/>
      <x:c r="CH53" s="685"/>
      <x:c r="CI53" s="685"/>
      <x:c r="CJ53" s="686"/>
    </x:row>
    <x:row r="54" spans="1:98">
      <x:c r="A54" s="681"/>
      <x:c r="B54" s="682"/>
      <x:c r="C54" s="682"/>
      <x:c r="D54" s="683"/>
      <x:c r="E54" s="687"/>
      <x:c r="F54" s="645"/>
      <x:c r="G54" s="645"/>
      <x:c r="H54" s="645"/>
      <x:c r="I54" s="645"/>
      <x:c r="J54" s="645"/>
      <x:c r="K54" s="645"/>
      <x:c r="L54" s="645"/>
      <x:c r="M54" s="645"/>
      <x:c r="N54" s="645"/>
      <x:c r="O54" s="645"/>
      <x:c r="P54" s="645"/>
      <x:c r="Q54" s="645"/>
      <x:c r="R54" s="645"/>
      <x:c r="S54" s="645"/>
      <x:c r="T54" s="645"/>
      <x:c r="U54" s="645"/>
      <x:c r="V54" s="645"/>
      <x:c r="W54" s="645"/>
      <x:c r="X54" s="645"/>
      <x:c r="Y54" s="645"/>
      <x:c r="Z54" s="645"/>
      <x:c r="AA54" s="645"/>
      <x:c r="AB54" s="645"/>
      <x:c r="AC54" s="645"/>
      <x:c r="AD54" s="645"/>
      <x:c r="AE54" s="645"/>
      <x:c r="AF54" s="645"/>
      <x:c r="AG54" s="645"/>
      <x:c r="AH54" s="645"/>
      <x:c r="AI54" s="645"/>
      <x:c r="AJ54" s="645"/>
      <x:c r="AK54" s="645"/>
      <x:c r="AL54" s="645"/>
      <x:c r="AM54" s="645"/>
      <x:c r="AN54" s="645"/>
      <x:c r="AO54" s="645"/>
      <x:c r="AP54" s="645"/>
      <x:c r="AQ54" s="645"/>
      <x:c r="AR54" s="645"/>
      <x:c r="AS54" s="645"/>
      <x:c r="AT54" s="645"/>
      <x:c r="AU54" s="645"/>
      <x:c r="AV54" s="645"/>
      <x:c r="AW54" s="645"/>
      <x:c r="AX54" s="645"/>
      <x:c r="AY54" s="645"/>
      <x:c r="AZ54" s="645"/>
      <x:c r="BA54" s="645"/>
      <x:c r="BB54" s="645"/>
      <x:c r="BC54" s="645"/>
      <x:c r="BD54" s="645"/>
      <x:c r="BE54" s="645"/>
      <x:c r="BF54" s="645"/>
      <x:c r="BG54" s="645"/>
      <x:c r="BH54" s="645"/>
      <x:c r="BI54" s="645"/>
      <x:c r="BJ54" s="645"/>
      <x:c r="BK54" s="645"/>
      <x:c r="BL54" s="645"/>
      <x:c r="BM54" s="645"/>
      <x:c r="BN54" s="645"/>
      <x:c r="BO54" s="645"/>
      <x:c r="BP54" s="645"/>
      <x:c r="BQ54" s="645"/>
      <x:c r="BR54" s="645"/>
      <x:c r="BS54" s="645"/>
      <x:c r="BT54" s="645"/>
      <x:c r="BU54" s="645"/>
      <x:c r="BV54" s="645"/>
      <x:c r="BW54" s="645"/>
      <x:c r="BX54" s="645"/>
      <x:c r="BY54" s="645"/>
      <x:c r="BZ54" s="645"/>
      <x:c r="CA54" s="645"/>
      <x:c r="CB54" s="645"/>
      <x:c r="CC54" s="645"/>
      <x:c r="CD54" s="645"/>
      <x:c r="CE54" s="645"/>
      <x:c r="CF54" s="645"/>
      <x:c r="CG54" s="645"/>
      <x:c r="CH54" s="645"/>
      <x:c r="CI54" s="645"/>
      <x:c r="CJ54" s="688"/>
    </x:row>
    <x:row r="55" spans="1:98">
      <x:c r="A55" s="681"/>
      <x:c r="B55" s="682"/>
      <x:c r="C55" s="682"/>
      <x:c r="D55" s="683"/>
      <x:c r="E55" s="687"/>
      <x:c r="F55" s="645"/>
      <x:c r="G55" s="645"/>
      <x:c r="H55" s="645"/>
      <x:c r="I55" s="645"/>
      <x:c r="J55" s="645"/>
      <x:c r="K55" s="645"/>
      <x:c r="L55" s="645"/>
      <x:c r="M55" s="645"/>
      <x:c r="N55" s="645"/>
      <x:c r="O55" s="645"/>
      <x:c r="P55" s="645"/>
      <x:c r="Q55" s="645"/>
      <x:c r="R55" s="645"/>
      <x:c r="S55" s="645"/>
      <x:c r="T55" s="645"/>
      <x:c r="U55" s="645"/>
      <x:c r="V55" s="645"/>
      <x:c r="W55" s="645"/>
      <x:c r="X55" s="645"/>
      <x:c r="Y55" s="645"/>
      <x:c r="Z55" s="645"/>
      <x:c r="AA55" s="645"/>
      <x:c r="AB55" s="645"/>
      <x:c r="AC55" s="645"/>
      <x:c r="AD55" s="645"/>
      <x:c r="AE55" s="645"/>
      <x:c r="AF55" s="645"/>
      <x:c r="AG55" s="645"/>
      <x:c r="AH55" s="645"/>
      <x:c r="AI55" s="645"/>
      <x:c r="AJ55" s="645"/>
      <x:c r="AK55" s="645"/>
      <x:c r="AL55" s="645"/>
      <x:c r="AM55" s="645"/>
      <x:c r="AN55" s="645"/>
      <x:c r="AO55" s="645"/>
      <x:c r="AP55" s="645"/>
      <x:c r="AQ55" s="645"/>
      <x:c r="AR55" s="645"/>
      <x:c r="AS55" s="645"/>
      <x:c r="AT55" s="645"/>
      <x:c r="AU55" s="645"/>
      <x:c r="AV55" s="645"/>
      <x:c r="AW55" s="645"/>
      <x:c r="AX55" s="645"/>
      <x:c r="AY55" s="645"/>
      <x:c r="AZ55" s="645"/>
      <x:c r="BA55" s="645"/>
      <x:c r="BB55" s="645"/>
      <x:c r="BC55" s="645"/>
      <x:c r="BD55" s="645"/>
      <x:c r="BE55" s="645"/>
      <x:c r="BF55" s="645"/>
      <x:c r="BG55" s="645"/>
      <x:c r="BH55" s="645"/>
      <x:c r="BI55" s="645"/>
      <x:c r="BJ55" s="645"/>
      <x:c r="BK55" s="645"/>
      <x:c r="BL55" s="645"/>
      <x:c r="BM55" s="645"/>
      <x:c r="BN55" s="645"/>
      <x:c r="BO55" s="645"/>
      <x:c r="BP55" s="645"/>
      <x:c r="BQ55" s="645"/>
      <x:c r="BR55" s="645"/>
      <x:c r="BS55" s="645"/>
      <x:c r="BT55" s="645"/>
      <x:c r="BU55" s="645"/>
      <x:c r="BV55" s="645"/>
      <x:c r="BW55" s="645"/>
      <x:c r="BX55" s="645"/>
      <x:c r="BY55" s="645"/>
      <x:c r="BZ55" s="645"/>
      <x:c r="CA55" s="645"/>
      <x:c r="CB55" s="645"/>
      <x:c r="CC55" s="645"/>
      <x:c r="CD55" s="645"/>
      <x:c r="CE55" s="645"/>
      <x:c r="CF55" s="645"/>
      <x:c r="CG55" s="645"/>
      <x:c r="CH55" s="645"/>
      <x:c r="CI55" s="645"/>
      <x:c r="CJ55" s="688"/>
    </x:row>
    <x:row r="56" spans="1:98">
      <x:c r="A56" s="681"/>
      <x:c r="B56" s="682"/>
      <x:c r="C56" s="682"/>
      <x:c r="D56" s="683"/>
      <x:c r="E56" s="687"/>
      <x:c r="F56" s="645"/>
      <x:c r="G56" s="645"/>
      <x:c r="H56" s="645"/>
      <x:c r="I56" s="645"/>
      <x:c r="J56" s="645"/>
      <x:c r="K56" s="645"/>
      <x:c r="L56" s="645"/>
      <x:c r="M56" s="645"/>
      <x:c r="N56" s="645"/>
      <x:c r="O56" s="645"/>
      <x:c r="P56" s="645"/>
      <x:c r="Q56" s="645"/>
      <x:c r="R56" s="645"/>
      <x:c r="S56" s="645"/>
      <x:c r="T56" s="645"/>
      <x:c r="U56" s="645"/>
      <x:c r="V56" s="645"/>
      <x:c r="W56" s="645"/>
      <x:c r="X56" s="645"/>
      <x:c r="Y56" s="645"/>
      <x:c r="Z56" s="645"/>
      <x:c r="AA56" s="645"/>
      <x:c r="AB56" s="645"/>
      <x:c r="AC56" s="645"/>
      <x:c r="AD56" s="645"/>
      <x:c r="AE56" s="645"/>
      <x:c r="AF56" s="645"/>
      <x:c r="AG56" s="645"/>
      <x:c r="AH56" s="645"/>
      <x:c r="AI56" s="645"/>
      <x:c r="AJ56" s="645"/>
      <x:c r="AK56" s="645"/>
      <x:c r="AL56" s="645"/>
      <x:c r="AM56" s="645"/>
      <x:c r="AN56" s="645"/>
      <x:c r="AO56" s="645"/>
      <x:c r="AP56" s="645"/>
      <x:c r="AQ56" s="645"/>
      <x:c r="AR56" s="645"/>
      <x:c r="AS56" s="645"/>
      <x:c r="AT56" s="645"/>
      <x:c r="AU56" s="645"/>
      <x:c r="AV56" s="645"/>
      <x:c r="AW56" s="645"/>
      <x:c r="AX56" s="645"/>
      <x:c r="AY56" s="645"/>
      <x:c r="AZ56" s="645"/>
      <x:c r="BA56" s="645"/>
      <x:c r="BB56" s="645"/>
      <x:c r="BC56" s="645"/>
      <x:c r="BD56" s="645"/>
      <x:c r="BE56" s="645"/>
      <x:c r="BF56" s="645"/>
      <x:c r="BG56" s="645"/>
      <x:c r="BH56" s="645"/>
      <x:c r="BI56" s="645"/>
      <x:c r="BJ56" s="645"/>
      <x:c r="BK56" s="645"/>
      <x:c r="BL56" s="645"/>
      <x:c r="BM56" s="645"/>
      <x:c r="BN56" s="645"/>
      <x:c r="BO56" s="645"/>
      <x:c r="BP56" s="645"/>
      <x:c r="BQ56" s="645"/>
      <x:c r="BR56" s="645"/>
      <x:c r="BS56" s="645"/>
      <x:c r="BT56" s="645"/>
      <x:c r="BU56" s="645"/>
      <x:c r="BV56" s="645"/>
      <x:c r="BW56" s="645"/>
      <x:c r="BX56" s="645"/>
      <x:c r="BY56" s="645"/>
      <x:c r="BZ56" s="645"/>
      <x:c r="CA56" s="645"/>
      <x:c r="CB56" s="645"/>
      <x:c r="CC56" s="645"/>
      <x:c r="CD56" s="645"/>
      <x:c r="CE56" s="645"/>
      <x:c r="CF56" s="645"/>
      <x:c r="CG56" s="645"/>
      <x:c r="CH56" s="645"/>
      <x:c r="CI56" s="645"/>
      <x:c r="CJ56" s="688"/>
    </x:row>
    <x:row r="57" spans="1:98">
      <x:c r="A57" s="681"/>
      <x:c r="B57" s="682"/>
      <x:c r="C57" s="682"/>
      <x:c r="D57" s="683"/>
      <x:c r="E57" s="687" t="s">
        <x:v>880</x:v>
      </x:c>
      <x:c r="F57" s="645"/>
      <x:c r="G57" s="645"/>
      <x:c r="H57" s="645"/>
      <x:c r="I57" s="645"/>
      <x:c r="J57" s="645"/>
      <x:c r="K57" s="645"/>
      <x:c r="L57" s="645"/>
      <x:c r="M57" s="645"/>
      <x:c r="N57" s="645"/>
      <x:c r="O57" s="645"/>
      <x:c r="P57" s="645"/>
      <x:c r="Q57" s="645"/>
      <x:c r="R57" s="645"/>
      <x:c r="S57" s="645"/>
      <x:c r="T57" s="645"/>
      <x:c r="U57" s="645"/>
      <x:c r="V57" s="645"/>
      <x:c r="W57" s="645"/>
      <x:c r="X57" s="645"/>
      <x:c r="Y57" s="645"/>
      <x:c r="Z57" s="645"/>
      <x:c r="AA57" s="645"/>
      <x:c r="AB57" s="645"/>
      <x:c r="AC57" s="645"/>
      <x:c r="AD57" s="645"/>
      <x:c r="AE57" s="645"/>
      <x:c r="AF57" s="645"/>
      <x:c r="AG57" s="645"/>
      <x:c r="AH57" s="645"/>
      <x:c r="AI57" s="645"/>
      <x:c r="AJ57" s="645"/>
      <x:c r="AK57" s="645"/>
      <x:c r="AL57" s="645"/>
      <x:c r="AM57" s="645"/>
      <x:c r="AN57" s="645"/>
      <x:c r="AO57" s="645"/>
      <x:c r="AP57" s="645"/>
      <x:c r="AQ57" s="645"/>
      <x:c r="AR57" s="645"/>
      <x:c r="AS57" s="645"/>
      <x:c r="AT57" s="645"/>
      <x:c r="AU57" s="645"/>
      <x:c r="AV57" s="645"/>
      <x:c r="AW57" s="645"/>
      <x:c r="AX57" s="645"/>
      <x:c r="AY57" s="645"/>
      <x:c r="AZ57" s="645"/>
      <x:c r="BA57" s="645"/>
      <x:c r="BB57" s="645"/>
      <x:c r="BC57" s="645"/>
      <x:c r="BD57" s="645"/>
      <x:c r="BE57" s="645"/>
      <x:c r="BF57" s="645"/>
      <x:c r="BG57" s="645"/>
      <x:c r="BH57" s="645"/>
      <x:c r="BI57" s="645"/>
      <x:c r="BJ57" s="645"/>
      <x:c r="BK57" s="645"/>
      <x:c r="BL57" s="645"/>
      <x:c r="BM57" s="645"/>
      <x:c r="BN57" s="645"/>
      <x:c r="BO57" s="645"/>
      <x:c r="BP57" s="645"/>
      <x:c r="BQ57" s="645"/>
      <x:c r="BR57" s="645"/>
      <x:c r="BS57" s="645"/>
      <x:c r="BT57" s="645"/>
      <x:c r="BU57" s="645"/>
      <x:c r="BV57" s="645"/>
      <x:c r="BW57" s="645"/>
      <x:c r="BX57" s="645"/>
      <x:c r="BY57" s="645"/>
      <x:c r="BZ57" s="645"/>
      <x:c r="CA57" s="645"/>
      <x:c r="CB57" s="645"/>
      <x:c r="CC57" s="645"/>
      <x:c r="CD57" s="645"/>
      <x:c r="CE57" s="645"/>
      <x:c r="CF57" s="645"/>
      <x:c r="CG57" s="645"/>
      <x:c r="CH57" s="645"/>
      <x:c r="CI57" s="645"/>
      <x:c r="CJ57" s="688"/>
    </x:row>
    <x:row r="58" spans="1:98" ht="17.25" customHeight="1">
      <x:c r="A58" s="689"/>
      <x:c r="B58" s="690"/>
      <x:c r="C58" s="690"/>
      <x:c r="D58" s="691"/>
      <x:c r="E58" s="692" t="s">
        <x:v>881</x:v>
      </x:c>
      <x:c r="F58" s="693"/>
      <x:c r="G58" s="693"/>
      <x:c r="H58" s="693"/>
      <x:c r="I58" s="693"/>
      <x:c r="J58" s="693"/>
      <x:c r="K58" s="693"/>
      <x:c r="L58" s="693"/>
      <x:c r="M58" s="693"/>
      <x:c r="N58" s="693"/>
      <x:c r="O58" s="693"/>
      <x:c r="P58" s="693"/>
      <x:c r="Q58" s="693"/>
      <x:c r="R58" s="693"/>
      <x:c r="S58" s="693"/>
      <x:c r="T58" s="693"/>
      <x:c r="U58" s="693"/>
      <x:c r="V58" s="693"/>
      <x:c r="W58" s="693"/>
      <x:c r="X58" s="693"/>
      <x:c r="Y58" s="693"/>
      <x:c r="Z58" s="693"/>
      <x:c r="AA58" s="693"/>
      <x:c r="AB58" s="693"/>
      <x:c r="AC58" s="693"/>
      <x:c r="AD58" s="693"/>
      <x:c r="AE58" s="693"/>
      <x:c r="AF58" s="693"/>
      <x:c r="AG58" s="693"/>
      <x:c r="AH58" s="693"/>
      <x:c r="AI58" s="693"/>
      <x:c r="AJ58" s="693"/>
      <x:c r="AK58" s="693"/>
      <x:c r="AL58" s="693"/>
      <x:c r="AM58" s="693"/>
      <x:c r="AN58" s="693"/>
      <x:c r="AO58" s="693"/>
      <x:c r="AP58" s="693"/>
      <x:c r="AQ58" s="693"/>
      <x:c r="AR58" s="693"/>
      <x:c r="AS58" s="693"/>
      <x:c r="AT58" s="693"/>
      <x:c r="AU58" s="693"/>
      <x:c r="AV58" s="693"/>
      <x:c r="AW58" s="693"/>
      <x:c r="AX58" s="693"/>
      <x:c r="AY58" s="693"/>
      <x:c r="AZ58" s="693"/>
      <x:c r="BA58" s="693"/>
      <x:c r="BB58" s="693"/>
      <x:c r="BC58" s="693"/>
      <x:c r="BD58" s="693"/>
      <x:c r="BE58" s="693"/>
      <x:c r="BF58" s="693"/>
      <x:c r="BG58" s="693"/>
      <x:c r="BH58" s="693"/>
      <x:c r="BI58" s="693"/>
      <x:c r="BJ58" s="693"/>
      <x:c r="BK58" s="693"/>
      <x:c r="BL58" s="693"/>
      <x:c r="BM58" s="693"/>
      <x:c r="BN58" s="693"/>
      <x:c r="BO58" s="693"/>
      <x:c r="BP58" s="693"/>
      <x:c r="BQ58" s="693"/>
      <x:c r="BR58" s="693"/>
      <x:c r="BS58" s="693"/>
      <x:c r="BT58" s="693"/>
      <x:c r="BU58" s="693"/>
      <x:c r="BV58" s="693"/>
      <x:c r="BW58" s="693"/>
      <x:c r="BX58" s="693"/>
      <x:c r="BY58" s="693"/>
      <x:c r="BZ58" s="693"/>
      <x:c r="CA58" s="693"/>
      <x:c r="CB58" s="693"/>
      <x:c r="CC58" s="693"/>
      <x:c r="CD58" s="693"/>
      <x:c r="CE58" s="693"/>
      <x:c r="CF58" s="693"/>
      <x:c r="CG58" s="693"/>
      <x:c r="CH58" s="693"/>
      <x:c r="CI58" s="693"/>
      <x:c r="CJ58" s="694"/>
    </x:row>
    <x:row r="59" spans="1:98">
      <x:c r="A59" s="695"/>
      <x:c r="B59" s="696"/>
      <x:c r="C59" s="696"/>
      <x:c r="D59" s="697"/>
      <x:c r="E59" s="698"/>
      <x:c r="F59" s="696"/>
      <x:c r="G59" s="699"/>
      <x:c r="H59" s="696"/>
      <x:c r="I59" s="696"/>
      <x:c r="J59" s="696"/>
      <x:c r="K59" s="696"/>
      <x:c r="L59" s="696"/>
      <x:c r="M59" s="696"/>
      <x:c r="N59" s="696"/>
      <x:c r="O59" s="696"/>
      <x:c r="P59" s="696"/>
      <x:c r="Q59" s="697"/>
      <x:c r="R59" s="700"/>
      <x:c r="S59" s="701"/>
      <x:c r="T59" s="702"/>
      <x:c r="U59" s="702"/>
      <x:c r="V59" s="702"/>
      <x:c r="W59" s="702"/>
      <x:c r="X59" s="702"/>
      <x:c r="Y59" s="701"/>
      <x:c r="Z59" s="701"/>
      <x:c r="AA59" s="701"/>
      <x:c r="AB59" s="701"/>
      <x:c r="AC59" s="701"/>
      <x:c r="AD59" s="701"/>
      <x:c r="AE59" s="701"/>
      <x:c r="AF59" s="701"/>
      <x:c r="AG59" s="701"/>
      <x:c r="AH59" s="701"/>
      <x:c r="AI59" s="701"/>
      <x:c r="AJ59" s="701"/>
      <x:c r="AK59" s="701"/>
      <x:c r="AL59" s="701"/>
      <x:c r="AM59" s="701"/>
      <x:c r="AN59" s="701"/>
      <x:c r="AO59" s="701"/>
      <x:c r="AP59" s="701"/>
      <x:c r="AQ59" s="701"/>
      <x:c r="AR59" s="701"/>
      <x:c r="AS59" s="701"/>
      <x:c r="AT59" s="701"/>
      <x:c r="AU59" s="701"/>
      <x:c r="AV59" s="701"/>
      <x:c r="AW59" s="701"/>
      <x:c r="AX59" s="701"/>
      <x:c r="AY59" s="701"/>
      <x:c r="AZ59" s="701"/>
      <x:c r="BA59" s="701"/>
      <x:c r="BB59" s="701"/>
      <x:c r="BC59" s="701"/>
      <x:c r="BD59" s="701"/>
      <x:c r="BE59" s="701"/>
      <x:c r="BF59" s="701"/>
      <x:c r="BG59" s="701"/>
      <x:c r="BH59" s="701"/>
      <x:c r="BI59" s="701"/>
      <x:c r="BJ59" s="701"/>
      <x:c r="BK59" s="701"/>
      <x:c r="BL59" s="701"/>
      <x:c r="BM59" s="500"/>
      <x:c r="BN59" s="501"/>
      <x:c r="BO59" s="501"/>
      <x:c r="BP59" s="501"/>
      <x:c r="BQ59" s="501"/>
      <x:c r="BR59" s="501"/>
      <x:c r="BS59" s="501"/>
      <x:c r="BT59" s="703"/>
      <x:c r="BU59" s="500"/>
      <x:c r="BV59" s="501"/>
      <x:c r="BW59" s="501"/>
      <x:c r="BX59" s="501"/>
      <x:c r="BY59" s="501"/>
      <x:c r="BZ59" s="501"/>
      <x:c r="CA59" s="501"/>
      <x:c r="CB59" s="703"/>
      <x:c r="CC59" s="500"/>
      <x:c r="CD59" s="501"/>
      <x:c r="CE59" s="501"/>
      <x:c r="CF59" s="501"/>
      <x:c r="CG59" s="501"/>
      <x:c r="CH59" s="501"/>
      <x:c r="CI59" s="501"/>
      <x:c r="CJ59" s="502"/>
    </x:row>
    <x:row r="60" spans="1:98">
      <x:c r="A60" s="704"/>
      <x:c r="B60" s="600"/>
      <x:c r="C60" s="600"/>
      <x:c r="D60" s="601"/>
      <x:c r="E60" s="705"/>
      <x:c r="F60" s="706"/>
      <x:c r="G60" s="707"/>
      <x:c r="H60" s="706"/>
      <x:c r="I60" s="706"/>
      <x:c r="J60" s="706"/>
      <x:c r="K60" s="706"/>
      <x:c r="L60" s="706"/>
      <x:c r="M60" s="706"/>
      <x:c r="N60" s="706"/>
      <x:c r="O60" s="706"/>
      <x:c r="P60" s="706"/>
      <x:c r="Q60" s="708"/>
      <x:c r="R60" s="709"/>
      <x:c r="S60" s="707"/>
      <x:c r="T60" s="710"/>
      <x:c r="U60" s="710"/>
      <x:c r="V60" s="710"/>
      <x:c r="W60" s="710"/>
      <x:c r="X60" s="710"/>
      <x:c r="Y60" s="710"/>
      <x:c r="Z60" s="710"/>
      <x:c r="AA60" s="710"/>
      <x:c r="AB60" s="710"/>
      <x:c r="AC60" s="710"/>
      <x:c r="AD60" s="710"/>
      <x:c r="AE60" s="710"/>
      <x:c r="AF60" s="710"/>
      <x:c r="AG60" s="710"/>
      <x:c r="AH60" s="710"/>
      <x:c r="AI60" s="710"/>
      <x:c r="AJ60" s="710"/>
      <x:c r="AK60" s="710"/>
      <x:c r="AL60" s="710"/>
      <x:c r="AM60" s="710"/>
      <x:c r="AN60" s="710"/>
      <x:c r="AO60" s="710"/>
      <x:c r="AP60" s="710"/>
      <x:c r="AQ60" s="710"/>
      <x:c r="AR60" s="710"/>
      <x:c r="AS60" s="710"/>
      <x:c r="AT60" s="710"/>
      <x:c r="AU60" s="710"/>
      <x:c r="AV60" s="710"/>
      <x:c r="AW60" s="710"/>
      <x:c r="AX60" s="710"/>
      <x:c r="AY60" s="710"/>
      <x:c r="AZ60" s="710"/>
      <x:c r="BA60" s="710"/>
      <x:c r="BB60" s="710"/>
      <x:c r="BC60" s="710"/>
      <x:c r="BD60" s="710"/>
      <x:c r="BE60" s="710"/>
      <x:c r="BF60" s="710"/>
      <x:c r="BG60" s="710"/>
      <x:c r="BH60" s="710"/>
      <x:c r="BI60" s="710"/>
      <x:c r="BJ60" s="710"/>
      <x:c r="BK60" s="710"/>
      <x:c r="BL60" s="711"/>
      <x:c r="BM60" s="518"/>
      <x:c r="BN60" s="519"/>
      <x:c r="BO60" s="519"/>
      <x:c r="BP60" s="519"/>
      <x:c r="BQ60" s="519"/>
      <x:c r="BR60" s="519"/>
      <x:c r="BS60" s="519"/>
      <x:c r="BT60" s="627"/>
      <x:c r="BU60" s="518"/>
      <x:c r="BV60" s="519"/>
      <x:c r="BW60" s="519"/>
      <x:c r="BX60" s="519"/>
      <x:c r="BY60" s="519"/>
      <x:c r="BZ60" s="519"/>
      <x:c r="CA60" s="519"/>
      <x:c r="CB60" s="627"/>
      <x:c r="CC60" s="518"/>
      <x:c r="CD60" s="519"/>
      <x:c r="CE60" s="519"/>
      <x:c r="CF60" s="519"/>
      <x:c r="CG60" s="519"/>
      <x:c r="CH60" s="519"/>
      <x:c r="CI60" s="519"/>
      <x:c r="CJ60" s="520"/>
    </x:row>
    <x:row r="61" spans="1:98">
      <x:c r="A61" s="712"/>
      <x:c r="B61" s="464"/>
      <x:c r="C61" s="464"/>
      <x:c r="D61" s="512"/>
      <x:c r="E61" s="713"/>
      <x:c r="F61" s="714"/>
      <x:c r="G61" s="714"/>
      <x:c r="H61" s="714"/>
      <x:c r="I61" s="714"/>
      <x:c r="J61" s="714"/>
      <x:c r="K61" s="714"/>
      <x:c r="L61" s="714"/>
      <x:c r="M61" s="714"/>
      <x:c r="N61" s="714"/>
      <x:c r="O61" s="714"/>
      <x:c r="P61" s="714"/>
      <x:c r="Q61" s="715"/>
      <x:c r="R61" s="716"/>
      <x:c r="S61" s="710"/>
      <x:c r="T61" s="710"/>
      <x:c r="U61" s="710"/>
      <x:c r="V61" s="710"/>
      <x:c r="W61" s="710"/>
      <x:c r="X61" s="710"/>
      <x:c r="Y61" s="710"/>
      <x:c r="Z61" s="710"/>
      <x:c r="AA61" s="710"/>
      <x:c r="AB61" s="710"/>
      <x:c r="AC61" s="710"/>
      <x:c r="AD61" s="710"/>
      <x:c r="AE61" s="710"/>
      <x:c r="AF61" s="710"/>
      <x:c r="AG61" s="710"/>
      <x:c r="AH61" s="710"/>
      <x:c r="AI61" s="710"/>
      <x:c r="AJ61" s="710"/>
      <x:c r="AK61" s="710"/>
      <x:c r="AL61" s="710"/>
      <x:c r="AM61" s="710"/>
      <x:c r="AN61" s="710"/>
      <x:c r="AO61" s="710"/>
      <x:c r="AP61" s="710"/>
      <x:c r="AQ61" s="710"/>
      <x:c r="AR61" s="710"/>
      <x:c r="AS61" s="710"/>
      <x:c r="AT61" s="710"/>
      <x:c r="AU61" s="710"/>
      <x:c r="AV61" s="710"/>
      <x:c r="AW61" s="710"/>
      <x:c r="AX61" s="710"/>
      <x:c r="AY61" s="710"/>
      <x:c r="AZ61" s="710"/>
      <x:c r="BA61" s="710"/>
      <x:c r="BB61" s="710"/>
      <x:c r="BC61" s="710"/>
      <x:c r="BD61" s="710"/>
      <x:c r="BE61" s="710"/>
      <x:c r="BF61" s="710"/>
      <x:c r="BG61" s="710"/>
      <x:c r="BH61" s="710"/>
      <x:c r="BI61" s="710"/>
      <x:c r="BJ61" s="710"/>
      <x:c r="BK61" s="710"/>
      <x:c r="BL61" s="711"/>
      <x:c r="BM61" s="518"/>
      <x:c r="BN61" s="519"/>
      <x:c r="BO61" s="519"/>
      <x:c r="BP61" s="519"/>
      <x:c r="BQ61" s="519"/>
      <x:c r="BR61" s="519"/>
      <x:c r="BS61" s="519"/>
      <x:c r="BT61" s="627"/>
      <x:c r="BU61" s="518"/>
      <x:c r="BV61" s="519"/>
      <x:c r="BW61" s="519"/>
      <x:c r="BX61" s="519"/>
      <x:c r="BY61" s="519"/>
      <x:c r="BZ61" s="519"/>
      <x:c r="CA61" s="519"/>
      <x:c r="CB61" s="627"/>
      <x:c r="CC61" s="518"/>
      <x:c r="CD61" s="519"/>
      <x:c r="CE61" s="519"/>
      <x:c r="CF61" s="519"/>
      <x:c r="CG61" s="519"/>
      <x:c r="CH61" s="519"/>
      <x:c r="CI61" s="519"/>
      <x:c r="CJ61" s="520"/>
    </x:row>
    <x:row r="62" spans="1:98" ht="17.25" customHeight="1">
      <x:c r="A62" s="717" t="s">
        <x:v>882</x:v>
      </x:c>
      <x:c r="B62" s="482"/>
      <x:c r="C62" s="482"/>
      <x:c r="D62" s="564"/>
      <x:c r="E62" s="718" t="s">
        <x:v>883</x:v>
      </x:c>
      <x:c r="F62" s="719"/>
      <x:c r="G62" s="719"/>
      <x:c r="H62" s="719"/>
      <x:c r="I62" s="719"/>
      <x:c r="J62" s="719"/>
      <x:c r="K62" s="719"/>
      <x:c r="L62" s="719"/>
      <x:c r="M62" s="719"/>
      <x:c r="N62" s="719"/>
      <x:c r="O62" s="719"/>
      <x:c r="P62" s="719"/>
      <x:c r="Q62" s="720"/>
      <x:c r="R62" s="526" t="s">
        <x:v>884</x:v>
      </x:c>
      <x:c r="S62" s="527"/>
      <x:c r="T62" s="527"/>
      <x:c r="U62" s="527"/>
      <x:c r="V62" s="527"/>
      <x:c r="W62" s="527"/>
      <x:c r="X62" s="527"/>
      <x:c r="Y62" s="527"/>
      <x:c r="Z62" s="527"/>
      <x:c r="AA62" s="527"/>
      <x:c r="AB62" s="527"/>
      <x:c r="AC62" s="527"/>
      <x:c r="AD62" s="527"/>
      <x:c r="AE62" s="527"/>
      <x:c r="AF62" s="527"/>
      <x:c r="AG62" s="527"/>
      <x:c r="AH62" s="527"/>
      <x:c r="AI62" s="527"/>
      <x:c r="AJ62" s="527"/>
      <x:c r="AK62" s="527"/>
      <x:c r="AL62" s="527"/>
      <x:c r="AM62" s="527"/>
      <x:c r="AN62" s="527"/>
      <x:c r="AO62" s="527"/>
      <x:c r="AP62" s="527"/>
      <x:c r="AQ62" s="527"/>
      <x:c r="AR62" s="527"/>
      <x:c r="AS62" s="527"/>
      <x:c r="AT62" s="527"/>
      <x:c r="AU62" s="527"/>
      <x:c r="AV62" s="527"/>
      <x:c r="AW62" s="527"/>
      <x:c r="AX62" s="527"/>
      <x:c r="AY62" s="527"/>
      <x:c r="AZ62" s="527"/>
      <x:c r="BA62" s="527"/>
      <x:c r="BB62" s="527"/>
      <x:c r="BC62" s="527"/>
      <x:c r="BD62" s="527"/>
      <x:c r="BE62" s="527"/>
      <x:c r="BF62" s="527"/>
      <x:c r="BG62" s="527"/>
      <x:c r="BH62" s="527"/>
      <x:c r="BI62" s="527"/>
      <x:c r="BJ62" s="527"/>
      <x:c r="BK62" s="527"/>
      <x:c r="BL62" s="721"/>
      <x:c r="BM62" s="718" t="s">
        <x:v>885</x:v>
      </x:c>
      <x:c r="BN62" s="719"/>
      <x:c r="BO62" s="719"/>
      <x:c r="BP62" s="719"/>
      <x:c r="BQ62" s="719"/>
      <x:c r="BR62" s="719"/>
      <x:c r="BS62" s="719"/>
      <x:c r="BT62" s="720"/>
      <x:c r="BU62" s="718" t="s">
        <x:v>886</x:v>
      </x:c>
      <x:c r="BV62" s="719"/>
      <x:c r="BW62" s="719"/>
      <x:c r="BX62" s="719"/>
      <x:c r="BY62" s="719"/>
      <x:c r="BZ62" s="719"/>
      <x:c r="CA62" s="719"/>
      <x:c r="CB62" s="720"/>
      <x:c r="CC62" s="718" t="s">
        <x:v>887</x:v>
      </x:c>
      <x:c r="CD62" s="719"/>
      <x:c r="CE62" s="719"/>
      <x:c r="CF62" s="719"/>
      <x:c r="CG62" s="719"/>
      <x:c r="CH62" s="719"/>
      <x:c r="CI62" s="719"/>
      <x:c r="CJ62" s="722"/>
    </x:row>
  </x:sheetData>
  <x:mergeCells count="400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ACT</vt:lpstr>
      <vt:lpstr>ACC</vt:lpstr>
      <vt:lpstr>DS-1</vt:lpstr>
      <vt:lpstr>ACT!Print_Area</vt:lpstr>
      <vt:lpstr>ACT!Print_Titles</vt:lpstr>
      <vt:lpstr>ACC!Print_Area</vt:lpstr>
      <vt:lpstr>ACC!Print_Titles</vt:lpstr>
      <vt:lpstr>DS-1!Print_Area</vt:lpstr>
      <vt:lpstr>DS-1!Print_Titles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이민준</lastModifiedBy>
  <dcterms:created xsi:type="dcterms:W3CDTF">2025-08-17T07:15:10.0000000Z</dcterms:created>
  <dcterms:modified xsi:type="dcterms:W3CDTF">2025-09-14T07:42:08.0000000Z</dcterms:modified>
</coreProperties>
</file>